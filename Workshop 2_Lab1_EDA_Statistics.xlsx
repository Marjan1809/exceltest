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67eaa967dc99ece/Desktop/Data Analyst Advanced course/"/>
    </mc:Choice>
  </mc:AlternateContent>
  <xr:revisionPtr revIDLastSave="346" documentId="13_ncr:1_{32962EC9-DDFD-4406-AF14-264CBFDADD64}" xr6:coauthVersionLast="47" xr6:coauthVersionMax="47" xr10:uidLastSave="{35F34064-58A7-440E-89F7-69F467A4947D}"/>
  <bookViews>
    <workbookView xWindow="-108" yWindow="-108" windowWidth="23256" windowHeight="12456" activeTab="2" xr2:uid="{00000000-000D-0000-FFFF-FFFF00000000}"/>
  </bookViews>
  <sheets>
    <sheet name="Tutor demo" sheetId="4" r:id="rId1"/>
    <sheet name="Lab 1_Working with statistics" sheetId="3" r:id="rId2"/>
    <sheet name="Lab 1_Optional" sheetId="5" r:id="rId3"/>
  </sheets>
  <definedNames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" i="5" l="1"/>
  <c r="G2" i="5"/>
  <c r="F2" i="5"/>
  <c r="E2" i="5"/>
  <c r="K19" i="4"/>
  <c r="I19" i="4"/>
  <c r="I17" i="4"/>
  <c r="K17" i="4"/>
  <c r="H2" i="4"/>
  <c r="G2" i="4"/>
  <c r="E2" i="4"/>
  <c r="F2" i="4"/>
  <c r="H2" i="3"/>
  <c r="G2" i="3"/>
  <c r="F2" i="3"/>
  <c r="E2" i="3"/>
</calcChain>
</file>

<file path=xl/sharedStrings.xml><?xml version="1.0" encoding="utf-8"?>
<sst xmlns="http://schemas.openxmlformats.org/spreadsheetml/2006/main" count="547" uniqueCount="251">
  <si>
    <t>Year</t>
  </si>
  <si>
    <t>Time Stamp</t>
  </si>
  <si>
    <t>Time Period Index</t>
  </si>
  <si>
    <t>Nottingham Temperatures</t>
  </si>
  <si>
    <t>Mean</t>
  </si>
  <si>
    <t>Median</t>
  </si>
  <si>
    <t>Mode</t>
  </si>
  <si>
    <t>Standard deviation</t>
  </si>
  <si>
    <t>1920-01</t>
  </si>
  <si>
    <t>1920-02</t>
  </si>
  <si>
    <t>1920-03</t>
  </si>
  <si>
    <t>1920-04</t>
  </si>
  <si>
    <t>1920-05</t>
  </si>
  <si>
    <t>1920-06</t>
  </si>
  <si>
    <t>1920-07</t>
  </si>
  <si>
    <t>1920-08</t>
  </si>
  <si>
    <t>1920-09</t>
  </si>
  <si>
    <t>1920-10</t>
  </si>
  <si>
    <t>1920-11</t>
  </si>
  <si>
    <t>1920-12</t>
  </si>
  <si>
    <t>1921-01</t>
  </si>
  <si>
    <t>1921-02</t>
  </si>
  <si>
    <t>1921-03</t>
  </si>
  <si>
    <t>1921-04</t>
  </si>
  <si>
    <t>1921-05</t>
  </si>
  <si>
    <t>1921-06</t>
  </si>
  <si>
    <t>1921-07</t>
  </si>
  <si>
    <t>1921-08</t>
  </si>
  <si>
    <t>1921-09</t>
  </si>
  <si>
    <t>1921-10</t>
  </si>
  <si>
    <t>1921-11</t>
  </si>
  <si>
    <t>1921-12</t>
  </si>
  <si>
    <t>1922-01</t>
  </si>
  <si>
    <t>1922-02</t>
  </si>
  <si>
    <t>1922-03</t>
  </si>
  <si>
    <t>1922-04</t>
  </si>
  <si>
    <t>1922-05</t>
  </si>
  <si>
    <t>1922-06</t>
  </si>
  <si>
    <t>1922-07</t>
  </si>
  <si>
    <t>1922-08</t>
  </si>
  <si>
    <t>1922-09</t>
  </si>
  <si>
    <t>1922-10</t>
  </si>
  <si>
    <t>1922-11</t>
  </si>
  <si>
    <t>1922-12</t>
  </si>
  <si>
    <t>1923-01</t>
  </si>
  <si>
    <t>1923-02</t>
  </si>
  <si>
    <t>1923-03</t>
  </si>
  <si>
    <t>1923-04</t>
  </si>
  <si>
    <t>1923-05</t>
  </si>
  <si>
    <t>1923-06</t>
  </si>
  <si>
    <t>1923-07</t>
  </si>
  <si>
    <t>1923-08</t>
  </si>
  <si>
    <t>1923-09</t>
  </si>
  <si>
    <t>1923-10</t>
  </si>
  <si>
    <t>1923-11</t>
  </si>
  <si>
    <t>1923-12</t>
  </si>
  <si>
    <t>1924-01</t>
  </si>
  <si>
    <t>1924-02</t>
  </si>
  <si>
    <t>1924-03</t>
  </si>
  <si>
    <t>1924-04</t>
  </si>
  <si>
    <t>1924-05</t>
  </si>
  <si>
    <t>1924-06</t>
  </si>
  <si>
    <t>1924-07</t>
  </si>
  <si>
    <t>1924-08</t>
  </si>
  <si>
    <t>1924-09</t>
  </si>
  <si>
    <t>1924-10</t>
  </si>
  <si>
    <t>1924-11</t>
  </si>
  <si>
    <t>1924-12</t>
  </si>
  <si>
    <t>1925-01</t>
  </si>
  <si>
    <t>1925-02</t>
  </si>
  <si>
    <t>1925-03</t>
  </si>
  <si>
    <t>1925-04</t>
  </si>
  <si>
    <t>1925-05</t>
  </si>
  <si>
    <t>1925-06</t>
  </si>
  <si>
    <t>1925-07</t>
  </si>
  <si>
    <t>1925-08</t>
  </si>
  <si>
    <t>1925-09</t>
  </si>
  <si>
    <t>1925-10</t>
  </si>
  <si>
    <t>1925-11</t>
  </si>
  <si>
    <t>1925-12</t>
  </si>
  <si>
    <t>1926-01</t>
  </si>
  <si>
    <t>1926-02</t>
  </si>
  <si>
    <t>1926-03</t>
  </si>
  <si>
    <t>1926-04</t>
  </si>
  <si>
    <t>1926-05</t>
  </si>
  <si>
    <t>1926-06</t>
  </si>
  <si>
    <t>1926-07</t>
  </si>
  <si>
    <t>1926-08</t>
  </si>
  <si>
    <t>1926-09</t>
  </si>
  <si>
    <t>1926-10</t>
  </si>
  <si>
    <t>1926-11</t>
  </si>
  <si>
    <t>1926-12</t>
  </si>
  <si>
    <t>1927-01</t>
  </si>
  <si>
    <t>1927-02</t>
  </si>
  <si>
    <t>1927-03</t>
  </si>
  <si>
    <t>1927-04</t>
  </si>
  <si>
    <t>1927-05</t>
  </si>
  <si>
    <t>1927-06</t>
  </si>
  <si>
    <t>1927-07</t>
  </si>
  <si>
    <t>1927-08</t>
  </si>
  <si>
    <t>1927-09</t>
  </si>
  <si>
    <t>1927-10</t>
  </si>
  <si>
    <t>1927-11</t>
  </si>
  <si>
    <t>1927-12</t>
  </si>
  <si>
    <t>1928-01</t>
  </si>
  <si>
    <t>1928-02</t>
  </si>
  <si>
    <t>1928-03</t>
  </si>
  <si>
    <t>1928-04</t>
  </si>
  <si>
    <t>1928-05</t>
  </si>
  <si>
    <t>1928-06</t>
  </si>
  <si>
    <t>1928-07</t>
  </si>
  <si>
    <t>1928-08</t>
  </si>
  <si>
    <t>1928-09</t>
  </si>
  <si>
    <t>1928-10</t>
  </si>
  <si>
    <t>1928-11</t>
  </si>
  <si>
    <t>1928-12</t>
  </si>
  <si>
    <t>1929-01</t>
  </si>
  <si>
    <t>1929-02</t>
  </si>
  <si>
    <t>1929-03</t>
  </si>
  <si>
    <t>1929-04</t>
  </si>
  <si>
    <t>1929-05</t>
  </si>
  <si>
    <t>1929-06</t>
  </si>
  <si>
    <t>1929-07</t>
  </si>
  <si>
    <t>1929-08</t>
  </si>
  <si>
    <t>1929-09</t>
  </si>
  <si>
    <t>1929-10</t>
  </si>
  <si>
    <t>1929-11</t>
  </si>
  <si>
    <t>1929-12</t>
  </si>
  <si>
    <t>1930-01</t>
  </si>
  <si>
    <t>1930-02</t>
  </si>
  <si>
    <t>1930-03</t>
  </si>
  <si>
    <t>1930-04</t>
  </si>
  <si>
    <t>1930-05</t>
  </si>
  <si>
    <t>1930-06</t>
  </si>
  <si>
    <t>1930-07</t>
  </si>
  <si>
    <t>1930-08</t>
  </si>
  <si>
    <t>1930-09</t>
  </si>
  <si>
    <t>1930-10</t>
  </si>
  <si>
    <t>1930-11</t>
  </si>
  <si>
    <t>1930-12</t>
  </si>
  <si>
    <t>1931-01</t>
  </si>
  <si>
    <t>1931-02</t>
  </si>
  <si>
    <t>1931-03</t>
  </si>
  <si>
    <t>1931-04</t>
  </si>
  <si>
    <t>1931-05</t>
  </si>
  <si>
    <t>1931-06</t>
  </si>
  <si>
    <t>1931-07</t>
  </si>
  <si>
    <t>1931-08</t>
  </si>
  <si>
    <t>1931-09</t>
  </si>
  <si>
    <t>1931-10</t>
  </si>
  <si>
    <t>1931-11</t>
  </si>
  <si>
    <t>1931-12</t>
  </si>
  <si>
    <t>1932-01</t>
  </si>
  <si>
    <t>1932-02</t>
  </si>
  <si>
    <t>1932-03</t>
  </si>
  <si>
    <t>1932-04</t>
  </si>
  <si>
    <t>1932-05</t>
  </si>
  <si>
    <t>1932-06</t>
  </si>
  <si>
    <t>1932-07</t>
  </si>
  <si>
    <t>1932-08</t>
  </si>
  <si>
    <t>1932-09</t>
  </si>
  <si>
    <t>1932-10</t>
  </si>
  <si>
    <t>1932-11</t>
  </si>
  <si>
    <t>1932-12</t>
  </si>
  <si>
    <t>1933-01</t>
  </si>
  <si>
    <t>1933-02</t>
  </si>
  <si>
    <t>1933-03</t>
  </si>
  <si>
    <t>1933-04</t>
  </si>
  <si>
    <t>1933-05</t>
  </si>
  <si>
    <t>1933-06</t>
  </si>
  <si>
    <t>1933-07</t>
  </si>
  <si>
    <t>1933-08</t>
  </si>
  <si>
    <t>1933-09</t>
  </si>
  <si>
    <t>1933-10</t>
  </si>
  <si>
    <t>1933-11</t>
  </si>
  <si>
    <t>1933-12</t>
  </si>
  <si>
    <t>1934-01</t>
  </si>
  <si>
    <t>1934-02</t>
  </si>
  <si>
    <t>1934-03</t>
  </si>
  <si>
    <t>1934-04</t>
  </si>
  <si>
    <t>1934-05</t>
  </si>
  <si>
    <t>1934-06</t>
  </si>
  <si>
    <t>1934-07</t>
  </si>
  <si>
    <t>1934-08</t>
  </si>
  <si>
    <t>1934-09</t>
  </si>
  <si>
    <t>1934-10</t>
  </si>
  <si>
    <t>1934-11</t>
  </si>
  <si>
    <t>1934-12</t>
  </si>
  <si>
    <t>1935-01</t>
  </si>
  <si>
    <t>1935-02</t>
  </si>
  <si>
    <t>1935-03</t>
  </si>
  <si>
    <t>1935-04</t>
  </si>
  <si>
    <t>1935-05</t>
  </si>
  <si>
    <t>1935-06</t>
  </si>
  <si>
    <t>1935-07</t>
  </si>
  <si>
    <t>1935-08</t>
  </si>
  <si>
    <t>1935-09</t>
  </si>
  <si>
    <t>1935-10</t>
  </si>
  <si>
    <t>1935-11</t>
  </si>
  <si>
    <t>1935-12</t>
  </si>
  <si>
    <t>1936-01</t>
  </si>
  <si>
    <t>1936-02</t>
  </si>
  <si>
    <t>1936-03</t>
  </si>
  <si>
    <t>1936-04</t>
  </si>
  <si>
    <t>1936-05</t>
  </si>
  <si>
    <t>1936-06</t>
  </si>
  <si>
    <t>1936-07</t>
  </si>
  <si>
    <t>1936-08</t>
  </si>
  <si>
    <t>1936-09</t>
  </si>
  <si>
    <t>1936-10</t>
  </si>
  <si>
    <t>1936-11</t>
  </si>
  <si>
    <t>1936-12</t>
  </si>
  <si>
    <t>1937-01</t>
  </si>
  <si>
    <t>1937-02</t>
  </si>
  <si>
    <t>1937-03</t>
  </si>
  <si>
    <t>1937-04</t>
  </si>
  <si>
    <t>1937-05</t>
  </si>
  <si>
    <t>1937-06</t>
  </si>
  <si>
    <t>1937-07</t>
  </si>
  <si>
    <t>1937-08</t>
  </si>
  <si>
    <t>1937-09</t>
  </si>
  <si>
    <t>1937-10</t>
  </si>
  <si>
    <t>1937-11</t>
  </si>
  <si>
    <t>1937-12</t>
  </si>
  <si>
    <t>1938-01</t>
  </si>
  <si>
    <t>1938-02</t>
  </si>
  <si>
    <t>1938-03</t>
  </si>
  <si>
    <t>1938-04</t>
  </si>
  <si>
    <t>1938-05</t>
  </si>
  <si>
    <t>1938-06</t>
  </si>
  <si>
    <t>1938-07</t>
  </si>
  <si>
    <t>1938-08</t>
  </si>
  <si>
    <t>1938-09</t>
  </si>
  <si>
    <t>1938-10</t>
  </si>
  <si>
    <t>1938-11</t>
  </si>
  <si>
    <t>1938-12</t>
  </si>
  <si>
    <t>1939-01</t>
  </si>
  <si>
    <t>1939-02</t>
  </si>
  <si>
    <t>1939-03</t>
  </si>
  <si>
    <t>1939-04</t>
  </si>
  <si>
    <t>1939-05</t>
  </si>
  <si>
    <t>1939-06</t>
  </si>
  <si>
    <t>1939-07</t>
  </si>
  <si>
    <t>1939-08</t>
  </si>
  <si>
    <t>1939-09</t>
  </si>
  <si>
    <t>1939-10</t>
  </si>
  <si>
    <t>1939-11</t>
  </si>
  <si>
    <t>1939-12</t>
  </si>
  <si>
    <t>Sheffield Temperatures</t>
  </si>
  <si>
    <t>Leeds Temperatures</t>
  </si>
  <si>
    <t>mode&gt;Mean&gt;Median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</si>
</sst>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0" fillId="0" borderId="0" xfId="0" applyAlignment="1">
      <alignment horizontal="center"/>
    </xf>
    <xf numFmtId="49" fontId="18" fillId="0" borderId="0" xfId="0" applyNumberFormat="1" applyFont="1" applyAlignment="1">
      <alignment horizontal="center"/>
    </xf>
    <xf numFmtId="14" fontId="0" fillId="0" borderId="0" xfId="0" applyNumberFormat="1"/>
    <xf numFmtId="0" fontId="19" fillId="0" borderId="0" xfId="0" applyFont="1"/>
    <xf numFmtId="0" fontId="16" fillId="0" borderId="0" xfId="0" applyFont="1"/>
    <xf numFmtId="2" fontId="0" fillId="0" borderId="0" xfId="0" applyNumberFormat="1"/>
    <xf numFmtId="0" fontId="0" fillId="0" borderId="0" xfId="0" applyAlignment="1">
      <alignment horizontal="center"/>
    </xf>
    <xf numFmtId="168" fontId="0" fillId="0" borderId="0" xfId="0" applyNumberFormat="1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66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val>
            <c:numRef>
              <c:f>'Tutor demo'!#REF!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'Tutor demo'!#REF!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'Tutor demo'!#REF!</c15:sqref>
                        </c15:formulaRef>
                      </c:ext>
                    </c:extLst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58BF-4E5B-AC24-3E09E16BCB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1385981</xdr:colOff>
      <xdr:row>3</xdr:row>
      <xdr:rowOff>141567</xdr:rowOff>
    </xdr:from>
    <xdr:to>
      <xdr:col>12</xdr:col>
      <xdr:colOff>87592</xdr:colOff>
      <xdr:row>13</xdr:row>
      <xdr:rowOff>151092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E0FBF41-1B62-40F5-B5EF-7BBF86B90CCA}"/>
            </a:ext>
            <a:ext uri="{147F2762-F138-4A5C-976F-8EAC2B608ADB}">
              <a16:predDERef xmlns:a16="http://schemas.microsoft.com/office/drawing/2014/main" pred="{CD4E59CF-B078-4A30-87E9-65E89F1F544B}"/>
            </a:ext>
          </a:extLst>
        </xdr:cNvPr>
        <xdr:cNvSpPr txBox="1"/>
      </xdr:nvSpPr>
      <xdr:spPr>
        <a:xfrm>
          <a:off x="10455275" y="746685"/>
          <a:ext cx="3475317" cy="2026583"/>
        </a:xfrm>
        <a:prstGeom prst="rect">
          <a:avLst/>
        </a:prstGeom>
        <a:solidFill>
          <a:srgbClr val="DDEBF7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400" b="1" i="0" u="none" strike="noStrike" kern="0" cap="none" spc="0" normalizeH="0" baseline="0" noProof="0">
              <a:ln>
                <a:noFill/>
              </a:ln>
              <a:solidFill>
                <a:srgbClr val="002060"/>
              </a:solidFill>
              <a:effectLst/>
              <a:uLnTx/>
              <a:uFillTx/>
              <a:latin typeface="+mn-lt"/>
              <a:ea typeface="+mn-ea"/>
              <a:cs typeface="+mn-cs"/>
            </a:rPr>
            <a:t>Lab 1: Working with statistics</a:t>
          </a:r>
        </a:p>
        <a:p>
          <a:endParaRPr lang="en-GB" sz="1400">
            <a:solidFill>
              <a:srgbClr val="002060"/>
            </a:solidFill>
            <a:latin typeface="+mn-lt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kumimoji="0" lang="en-GB" sz="1400" b="1" i="0" u="none" strike="noStrike" kern="0" cap="none" spc="0" normalizeH="0" baseline="0" noProof="0">
              <a:ln>
                <a:noFill/>
              </a:ln>
              <a:solidFill>
                <a:srgbClr val="002060"/>
              </a:solidFill>
              <a:effectLst/>
              <a:uLnTx/>
              <a:uFillTx/>
              <a:latin typeface="+mn-lt"/>
              <a:ea typeface="+mn-ea"/>
              <a:cs typeface="+mn-cs"/>
            </a:rPr>
            <a:t>Brief: </a:t>
          </a:r>
          <a:r>
            <a:rPr lang="en-GB" sz="1400">
              <a:solidFill>
                <a:srgbClr val="002060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Calculate the following:</a:t>
          </a:r>
          <a:endParaRPr lang="en-GB" sz="800" b="1">
            <a:solidFill>
              <a:srgbClr val="002060"/>
            </a:solidFill>
            <a:effectLst/>
            <a:latin typeface="+mn-lt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marL="342900" lvl="0" indent="-342900">
            <a:lnSpc>
              <a:spcPct val="107000"/>
            </a:lnSpc>
            <a:spcAft>
              <a:spcPts val="0"/>
            </a:spcAft>
            <a:buFont typeface="Symbol" panose="05050102010706020507" pitchFamily="18" charset="2"/>
            <a:buChar char=""/>
          </a:pPr>
          <a:r>
            <a:rPr lang="en-GB" sz="1400">
              <a:solidFill>
                <a:srgbClr val="002060"/>
              </a:solidFill>
              <a:effectLst/>
              <a:latin typeface="+mn-lt"/>
              <a:ea typeface="Calibri" panose="020F0502020204030204" pitchFamily="34" charset="0"/>
              <a:cs typeface="Times New Roman" panose="02020603050405020304" pitchFamily="18" charset="0"/>
            </a:rPr>
            <a:t>Mean</a:t>
          </a:r>
        </a:p>
        <a:p>
          <a:pPr marL="342900" lvl="0" indent="-342900">
            <a:lnSpc>
              <a:spcPct val="107000"/>
            </a:lnSpc>
            <a:spcAft>
              <a:spcPts val="0"/>
            </a:spcAft>
            <a:buFont typeface="Symbol" panose="05050102010706020507" pitchFamily="18" charset="2"/>
            <a:buChar char=""/>
          </a:pPr>
          <a:r>
            <a:rPr lang="en-GB" sz="1400">
              <a:solidFill>
                <a:srgbClr val="002060"/>
              </a:solidFill>
              <a:effectLst/>
              <a:latin typeface="+mn-lt"/>
              <a:cs typeface="Times New Roman" panose="02020603050405020304" pitchFamily="18" charset="0"/>
            </a:rPr>
            <a:t>Median</a:t>
          </a:r>
        </a:p>
        <a:p>
          <a:pPr marL="342900" lvl="0" indent="-342900">
            <a:lnSpc>
              <a:spcPct val="107000"/>
            </a:lnSpc>
            <a:spcAft>
              <a:spcPts val="0"/>
            </a:spcAft>
            <a:buFont typeface="Symbol" panose="05050102010706020507" pitchFamily="18" charset="2"/>
            <a:buChar char=""/>
          </a:pPr>
          <a:r>
            <a:rPr lang="en-GB" sz="1400">
              <a:solidFill>
                <a:srgbClr val="002060"/>
              </a:solidFill>
              <a:effectLst/>
              <a:latin typeface="+mn-lt"/>
              <a:cs typeface="Times New Roman" panose="02020603050405020304" pitchFamily="18" charset="0"/>
            </a:rPr>
            <a:t>Mode</a:t>
          </a:r>
        </a:p>
        <a:p>
          <a:pPr marL="342900" lvl="0" indent="-342900">
            <a:lnSpc>
              <a:spcPct val="107000"/>
            </a:lnSpc>
            <a:spcAft>
              <a:spcPts val="0"/>
            </a:spcAft>
            <a:buFont typeface="Symbol" panose="05050102010706020507" pitchFamily="18" charset="2"/>
            <a:buChar char=""/>
          </a:pPr>
          <a:r>
            <a:rPr lang="en-GB" sz="1400">
              <a:solidFill>
                <a:srgbClr val="002060"/>
              </a:solidFill>
              <a:effectLst/>
              <a:latin typeface="+mn-lt"/>
              <a:cs typeface="Times New Roman" panose="02020603050405020304" pitchFamily="18" charset="0"/>
            </a:rPr>
            <a:t>Standard deviation</a:t>
          </a:r>
        </a:p>
        <a:p>
          <a:pPr marL="342900" lvl="0" indent="-342900">
            <a:lnSpc>
              <a:spcPct val="107000"/>
            </a:lnSpc>
            <a:spcAft>
              <a:spcPts val="0"/>
            </a:spcAft>
            <a:buFont typeface="Symbol" panose="05050102010706020507" pitchFamily="18" charset="2"/>
            <a:buChar char=""/>
          </a:pPr>
          <a:endParaRPr lang="en-GB" sz="1400">
            <a:solidFill>
              <a:srgbClr val="002060"/>
            </a:solidFill>
            <a:effectLst/>
            <a:latin typeface="+mn-lt"/>
            <a:cs typeface="Times New Roman" panose="02020603050405020304" pitchFamily="18" charset="0"/>
          </a:endParaRPr>
        </a:p>
        <a:p>
          <a:pPr marL="0" lvl="0" indent="0">
            <a:lnSpc>
              <a:spcPct val="107000"/>
            </a:lnSpc>
            <a:spcAft>
              <a:spcPts val="0"/>
            </a:spcAft>
            <a:buFont typeface="Symbol" panose="05050102010706020507" pitchFamily="18" charset="2"/>
            <a:buNone/>
          </a:pPr>
          <a:endParaRPr lang="en-GB" sz="1400">
            <a:solidFill>
              <a:srgbClr val="002060"/>
            </a:solidFill>
            <a:latin typeface="+mn-lt"/>
          </a:endParaRPr>
        </a:p>
        <a:p>
          <a:pPr marL="0" lvl="0" indent="0">
            <a:lnSpc>
              <a:spcPct val="107000"/>
            </a:lnSpc>
            <a:spcAft>
              <a:spcPts val="0"/>
            </a:spcAft>
            <a:buFont typeface="Symbol" panose="05050102010706020507" pitchFamily="18" charset="2"/>
            <a:buNone/>
          </a:pPr>
          <a:endParaRPr lang="en-GB" sz="1400">
            <a:solidFill>
              <a:srgbClr val="002060"/>
            </a:solidFill>
            <a:latin typeface="+mn-lt"/>
          </a:endParaRPr>
        </a:p>
      </xdr:txBody>
    </xdr:sp>
    <xdr:clientData/>
  </xdr:twoCellAnchor>
  <xdr:twoCellAnchor editAs="oneCell">
    <xdr:from>
      <xdr:col>9</xdr:col>
      <xdr:colOff>95250</xdr:colOff>
      <xdr:row>0</xdr:row>
      <xdr:rowOff>28575</xdr:rowOff>
    </xdr:from>
    <xdr:to>
      <xdr:col>13</xdr:col>
      <xdr:colOff>361950</xdr:colOff>
      <xdr:row>3</xdr:row>
      <xdr:rowOff>104775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34D69E0-B749-4B43-B387-C59ECE6ECB0E}"/>
            </a:ext>
            <a:ext uri="{147F2762-F138-4A5C-976F-8EAC2B608ADB}">
              <a16:predDERef xmlns:a16="http://schemas.microsoft.com/office/drawing/2014/main" pred="{3E0FBF41-1B62-40F5-B5EF-7BBF86B90C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53850" y="28575"/>
          <a:ext cx="2705100" cy="647700"/>
        </a:xfrm>
        <a:prstGeom prst="rect">
          <a:avLst/>
        </a:prstGeom>
      </xdr:spPr>
    </xdr:pic>
    <xdr:clientData/>
  </xdr:twoCellAnchor>
  <xdr:twoCellAnchor>
    <xdr:from>
      <xdr:col>6</xdr:col>
      <xdr:colOff>571500</xdr:colOff>
      <xdr:row>75</xdr:row>
      <xdr:rowOff>92635</xdr:rowOff>
    </xdr:from>
    <xdr:to>
      <xdr:col>10</xdr:col>
      <xdr:colOff>601382</xdr:colOff>
      <xdr:row>89</xdr:row>
      <xdr:rowOff>11952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8209AC7-CB9A-5B9B-E59E-4B09122BF0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9525</xdr:colOff>
      <xdr:row>5</xdr:row>
      <xdr:rowOff>38100</xdr:rowOff>
    </xdr:from>
    <xdr:to>
      <xdr:col>15</xdr:col>
      <xdr:colOff>361950</xdr:colOff>
      <xdr:row>14</xdr:row>
      <xdr:rowOff>171450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1E2828DE-8B84-4B0B-ADC8-3767E05F7A7F}"/>
            </a:ext>
            <a:ext uri="{147F2762-F138-4A5C-976F-8EAC2B608ADB}">
              <a16:predDERef xmlns:a16="http://schemas.microsoft.com/office/drawing/2014/main" pred="{CD4E59CF-B078-4A30-87E9-65E89F1F544B}"/>
            </a:ext>
          </a:extLst>
        </xdr:cNvPr>
        <xdr:cNvSpPr txBox="1"/>
      </xdr:nvSpPr>
      <xdr:spPr>
        <a:xfrm>
          <a:off x="11668125" y="990600"/>
          <a:ext cx="4010025" cy="1933575"/>
        </a:xfrm>
        <a:prstGeom prst="rect">
          <a:avLst/>
        </a:prstGeom>
        <a:solidFill>
          <a:srgbClr val="DDEBF7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400" b="1" i="0" u="none" strike="noStrike" kern="0" cap="none" spc="0" normalizeH="0" baseline="0" noProof="0">
              <a:ln>
                <a:noFill/>
              </a:ln>
              <a:solidFill>
                <a:srgbClr val="002060"/>
              </a:solidFill>
              <a:effectLst/>
              <a:uLnTx/>
              <a:uFillTx/>
              <a:latin typeface="+mn-lt"/>
              <a:ea typeface="+mn-ea"/>
              <a:cs typeface="+mn-cs"/>
            </a:rPr>
            <a:t>Lab 1: Working with statistics</a:t>
          </a:r>
        </a:p>
        <a:p>
          <a:endParaRPr lang="en-GB" sz="1400">
            <a:solidFill>
              <a:srgbClr val="002060"/>
            </a:solidFill>
            <a:latin typeface="+mn-lt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kumimoji="0" lang="en-GB" sz="1400" b="1" i="0" u="none" strike="noStrike" kern="0" cap="none" spc="0" normalizeH="0" baseline="0" noProof="0">
              <a:ln>
                <a:noFill/>
              </a:ln>
              <a:solidFill>
                <a:srgbClr val="002060"/>
              </a:solidFill>
              <a:effectLst/>
              <a:uLnTx/>
              <a:uFillTx/>
              <a:latin typeface="+mn-lt"/>
              <a:ea typeface="+mn-ea"/>
              <a:cs typeface="+mn-cs"/>
            </a:rPr>
            <a:t>Brief: </a:t>
          </a:r>
          <a:r>
            <a:rPr lang="en-GB" sz="1400">
              <a:solidFill>
                <a:srgbClr val="002060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Calculate the following:</a:t>
          </a:r>
          <a:endParaRPr lang="en-GB" sz="800" b="1">
            <a:solidFill>
              <a:srgbClr val="002060"/>
            </a:solidFill>
            <a:effectLst/>
            <a:latin typeface="+mn-lt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marL="342900" lvl="0" indent="-342900">
            <a:lnSpc>
              <a:spcPct val="107000"/>
            </a:lnSpc>
            <a:spcAft>
              <a:spcPts val="0"/>
            </a:spcAft>
            <a:buFont typeface="Symbol" panose="05050102010706020507" pitchFamily="18" charset="2"/>
            <a:buChar char=""/>
          </a:pPr>
          <a:r>
            <a:rPr lang="en-GB" sz="1400">
              <a:solidFill>
                <a:srgbClr val="002060"/>
              </a:solidFill>
              <a:effectLst/>
              <a:latin typeface="+mn-lt"/>
              <a:ea typeface="Calibri" panose="020F0502020204030204" pitchFamily="34" charset="0"/>
              <a:cs typeface="Times New Roman" panose="02020603050405020304" pitchFamily="18" charset="0"/>
            </a:rPr>
            <a:t>Mean</a:t>
          </a:r>
        </a:p>
        <a:p>
          <a:pPr marL="342900" lvl="0" indent="-342900">
            <a:lnSpc>
              <a:spcPct val="107000"/>
            </a:lnSpc>
            <a:spcAft>
              <a:spcPts val="0"/>
            </a:spcAft>
            <a:buFont typeface="Symbol" panose="05050102010706020507" pitchFamily="18" charset="2"/>
            <a:buChar char=""/>
          </a:pPr>
          <a:r>
            <a:rPr lang="en-GB" sz="1400">
              <a:solidFill>
                <a:srgbClr val="002060"/>
              </a:solidFill>
              <a:effectLst/>
              <a:latin typeface="+mn-lt"/>
              <a:cs typeface="Times New Roman" panose="02020603050405020304" pitchFamily="18" charset="0"/>
            </a:rPr>
            <a:t>Median</a:t>
          </a:r>
        </a:p>
        <a:p>
          <a:pPr marL="342900" lvl="0" indent="-342900">
            <a:lnSpc>
              <a:spcPct val="107000"/>
            </a:lnSpc>
            <a:spcAft>
              <a:spcPts val="0"/>
            </a:spcAft>
            <a:buFont typeface="Symbol" panose="05050102010706020507" pitchFamily="18" charset="2"/>
            <a:buChar char=""/>
          </a:pPr>
          <a:r>
            <a:rPr lang="en-GB" sz="1400">
              <a:solidFill>
                <a:srgbClr val="002060"/>
              </a:solidFill>
              <a:effectLst/>
              <a:latin typeface="+mn-lt"/>
              <a:cs typeface="Times New Roman" panose="02020603050405020304" pitchFamily="18" charset="0"/>
            </a:rPr>
            <a:t>Mode</a:t>
          </a:r>
        </a:p>
        <a:p>
          <a:pPr marL="342900" lvl="0" indent="-342900">
            <a:lnSpc>
              <a:spcPct val="107000"/>
            </a:lnSpc>
            <a:spcAft>
              <a:spcPts val="0"/>
            </a:spcAft>
            <a:buFont typeface="Symbol" panose="05050102010706020507" pitchFamily="18" charset="2"/>
            <a:buChar char=""/>
          </a:pPr>
          <a:r>
            <a:rPr lang="en-GB" sz="1400">
              <a:solidFill>
                <a:srgbClr val="002060"/>
              </a:solidFill>
              <a:effectLst/>
              <a:latin typeface="+mn-lt"/>
              <a:cs typeface="Times New Roman" panose="02020603050405020304" pitchFamily="18" charset="0"/>
            </a:rPr>
            <a:t>Standard deviation</a:t>
          </a:r>
        </a:p>
        <a:p>
          <a:pPr marL="342900" lvl="0" indent="-342900">
            <a:lnSpc>
              <a:spcPct val="107000"/>
            </a:lnSpc>
            <a:spcAft>
              <a:spcPts val="0"/>
            </a:spcAft>
            <a:buFont typeface="Symbol" panose="05050102010706020507" pitchFamily="18" charset="2"/>
            <a:buChar char=""/>
          </a:pPr>
          <a:endParaRPr lang="en-GB" sz="1400">
            <a:solidFill>
              <a:srgbClr val="002060"/>
            </a:solidFill>
            <a:effectLst/>
            <a:latin typeface="+mn-lt"/>
            <a:cs typeface="Times New Roman" panose="02020603050405020304" pitchFamily="18" charset="0"/>
          </a:endParaRPr>
        </a:p>
        <a:p>
          <a:pPr marL="0" lvl="0" indent="0">
            <a:lnSpc>
              <a:spcPct val="107000"/>
            </a:lnSpc>
            <a:spcAft>
              <a:spcPts val="0"/>
            </a:spcAft>
            <a:buFont typeface="Symbol" panose="05050102010706020507" pitchFamily="18" charset="2"/>
            <a:buNone/>
          </a:pPr>
          <a:endParaRPr lang="en-GB" sz="1400">
            <a:solidFill>
              <a:srgbClr val="002060"/>
            </a:solidFill>
            <a:latin typeface="+mn-lt"/>
          </a:endParaRPr>
        </a:p>
        <a:p>
          <a:pPr marL="0" lvl="0" indent="0">
            <a:lnSpc>
              <a:spcPct val="107000"/>
            </a:lnSpc>
            <a:spcAft>
              <a:spcPts val="0"/>
            </a:spcAft>
            <a:buFont typeface="Symbol" panose="05050102010706020507" pitchFamily="18" charset="2"/>
            <a:buNone/>
          </a:pPr>
          <a:endParaRPr lang="en-GB" sz="1400">
            <a:solidFill>
              <a:srgbClr val="002060"/>
            </a:solidFill>
            <a:latin typeface="+mn-lt"/>
          </a:endParaRPr>
        </a:p>
      </xdr:txBody>
    </xdr:sp>
    <xdr:clientData/>
  </xdr:twoCellAnchor>
  <xdr:twoCellAnchor editAs="oneCell">
    <xdr:from>
      <xdr:col>9</xdr:col>
      <xdr:colOff>85725</xdr:colOff>
      <xdr:row>0</xdr:row>
      <xdr:rowOff>123825</xdr:rowOff>
    </xdr:from>
    <xdr:to>
      <xdr:col>13</xdr:col>
      <xdr:colOff>352425</xdr:colOff>
      <xdr:row>4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22F97C9-21FE-4A23-8304-B6A0D495FA0B}"/>
            </a:ext>
            <a:ext uri="{147F2762-F138-4A5C-976F-8EAC2B608ADB}">
              <a16:predDERef xmlns:a16="http://schemas.microsoft.com/office/drawing/2014/main" pred="{1E2828DE-8B84-4B0B-ADC8-3767E05F7A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44325" y="123825"/>
          <a:ext cx="2705100" cy="6477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85725</xdr:colOff>
      <xdr:row>0</xdr:row>
      <xdr:rowOff>95250</xdr:rowOff>
    </xdr:from>
    <xdr:to>
      <xdr:col>13</xdr:col>
      <xdr:colOff>352425</xdr:colOff>
      <xdr:row>3</xdr:row>
      <xdr:rowOff>171450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687BCC0-A3AF-472D-AD8E-3DAB45EC2A97}"/>
            </a:ext>
            <a:ext uri="{147F2762-F138-4A5C-976F-8EAC2B608ADB}">
              <a16:predDERef xmlns:a16="http://schemas.microsoft.com/office/drawing/2014/main" pred="{28208BB6-6717-40CC-BEDD-E10F403170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96625" y="95250"/>
          <a:ext cx="2705100" cy="647700"/>
        </a:xfrm>
        <a:prstGeom prst="rect">
          <a:avLst/>
        </a:prstGeom>
      </xdr:spPr>
    </xdr:pic>
    <xdr:clientData/>
  </xdr:twoCellAnchor>
  <xdr:twoCellAnchor>
    <xdr:from>
      <xdr:col>9</xdr:col>
      <xdr:colOff>19050</xdr:colOff>
      <xdr:row>5</xdr:row>
      <xdr:rowOff>19050</xdr:rowOff>
    </xdr:from>
    <xdr:to>
      <xdr:col>14</xdr:col>
      <xdr:colOff>333375</xdr:colOff>
      <xdr:row>14</xdr:row>
      <xdr:rowOff>152400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1672CAC-CC91-4527-89F5-E7FB4A523FA6}"/>
            </a:ext>
            <a:ext uri="{147F2762-F138-4A5C-976F-8EAC2B608ADB}">
              <a16:predDERef xmlns:a16="http://schemas.microsoft.com/office/drawing/2014/main" pred="{CD4E59CF-B078-4A30-87E9-65E89F1F544B}"/>
            </a:ext>
          </a:extLst>
        </xdr:cNvPr>
        <xdr:cNvSpPr txBox="1"/>
      </xdr:nvSpPr>
      <xdr:spPr>
        <a:xfrm>
          <a:off x="11029950" y="971550"/>
          <a:ext cx="3362325" cy="1933575"/>
        </a:xfrm>
        <a:prstGeom prst="rect">
          <a:avLst/>
        </a:prstGeom>
        <a:solidFill>
          <a:srgbClr val="DDEBF7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400" b="1" i="0" u="none" strike="noStrike" kern="0" cap="none" spc="0" normalizeH="0" baseline="0" noProof="0">
              <a:ln>
                <a:noFill/>
              </a:ln>
              <a:solidFill>
                <a:srgbClr val="002060"/>
              </a:solidFill>
              <a:effectLst/>
              <a:uLnTx/>
              <a:uFillTx/>
              <a:latin typeface="+mn-lt"/>
              <a:ea typeface="+mn-ea"/>
              <a:cs typeface="+mn-cs"/>
            </a:rPr>
            <a:t>Lab 1: Working with statistics</a:t>
          </a:r>
        </a:p>
        <a:p>
          <a:endParaRPr lang="en-GB" sz="1400">
            <a:solidFill>
              <a:srgbClr val="002060"/>
            </a:solidFill>
            <a:latin typeface="+mn-lt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kumimoji="0" lang="en-GB" sz="1400" b="1" i="0" u="none" strike="noStrike" kern="0" cap="none" spc="0" normalizeH="0" baseline="0" noProof="0">
              <a:ln>
                <a:noFill/>
              </a:ln>
              <a:solidFill>
                <a:srgbClr val="002060"/>
              </a:solidFill>
              <a:effectLst/>
              <a:uLnTx/>
              <a:uFillTx/>
              <a:latin typeface="+mn-lt"/>
              <a:ea typeface="+mn-ea"/>
              <a:cs typeface="+mn-cs"/>
            </a:rPr>
            <a:t>Brief: </a:t>
          </a:r>
          <a:r>
            <a:rPr lang="en-GB" sz="1400">
              <a:solidFill>
                <a:srgbClr val="002060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Calculate the following:</a:t>
          </a:r>
          <a:endParaRPr lang="en-GB" sz="800" b="1">
            <a:solidFill>
              <a:srgbClr val="002060"/>
            </a:solidFill>
            <a:effectLst/>
            <a:latin typeface="+mn-lt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marL="342900" lvl="0" indent="-342900">
            <a:lnSpc>
              <a:spcPct val="107000"/>
            </a:lnSpc>
            <a:spcAft>
              <a:spcPts val="0"/>
            </a:spcAft>
            <a:buFont typeface="Symbol" panose="05050102010706020507" pitchFamily="18" charset="2"/>
            <a:buChar char=""/>
          </a:pPr>
          <a:r>
            <a:rPr lang="en-GB" sz="1400">
              <a:solidFill>
                <a:srgbClr val="002060"/>
              </a:solidFill>
              <a:effectLst/>
              <a:latin typeface="+mn-lt"/>
              <a:ea typeface="Calibri" panose="020F0502020204030204" pitchFamily="34" charset="0"/>
              <a:cs typeface="Times New Roman" panose="02020603050405020304" pitchFamily="18" charset="0"/>
            </a:rPr>
            <a:t>Mean</a:t>
          </a:r>
        </a:p>
        <a:p>
          <a:pPr marL="342900" lvl="0" indent="-342900">
            <a:lnSpc>
              <a:spcPct val="107000"/>
            </a:lnSpc>
            <a:spcAft>
              <a:spcPts val="0"/>
            </a:spcAft>
            <a:buFont typeface="Symbol" panose="05050102010706020507" pitchFamily="18" charset="2"/>
            <a:buChar char=""/>
          </a:pPr>
          <a:r>
            <a:rPr lang="en-GB" sz="1400">
              <a:solidFill>
                <a:srgbClr val="002060"/>
              </a:solidFill>
              <a:effectLst/>
              <a:latin typeface="+mn-lt"/>
              <a:cs typeface="Times New Roman" panose="02020603050405020304" pitchFamily="18" charset="0"/>
            </a:rPr>
            <a:t>Median</a:t>
          </a:r>
        </a:p>
        <a:p>
          <a:pPr marL="342900" lvl="0" indent="-342900">
            <a:lnSpc>
              <a:spcPct val="107000"/>
            </a:lnSpc>
            <a:spcAft>
              <a:spcPts val="0"/>
            </a:spcAft>
            <a:buFont typeface="Symbol" panose="05050102010706020507" pitchFamily="18" charset="2"/>
            <a:buChar char=""/>
          </a:pPr>
          <a:r>
            <a:rPr lang="en-GB" sz="1400">
              <a:solidFill>
                <a:srgbClr val="002060"/>
              </a:solidFill>
              <a:effectLst/>
              <a:latin typeface="+mn-lt"/>
              <a:cs typeface="Times New Roman" panose="02020603050405020304" pitchFamily="18" charset="0"/>
            </a:rPr>
            <a:t>Mode</a:t>
          </a:r>
        </a:p>
        <a:p>
          <a:pPr marL="342900" lvl="0" indent="-342900">
            <a:lnSpc>
              <a:spcPct val="107000"/>
            </a:lnSpc>
            <a:spcAft>
              <a:spcPts val="0"/>
            </a:spcAft>
            <a:buFont typeface="Symbol" panose="05050102010706020507" pitchFamily="18" charset="2"/>
            <a:buChar char=""/>
          </a:pPr>
          <a:r>
            <a:rPr lang="en-GB" sz="1400">
              <a:solidFill>
                <a:srgbClr val="002060"/>
              </a:solidFill>
              <a:effectLst/>
              <a:latin typeface="+mn-lt"/>
              <a:cs typeface="Times New Roman" panose="02020603050405020304" pitchFamily="18" charset="0"/>
            </a:rPr>
            <a:t>Standard deviation</a:t>
          </a:r>
        </a:p>
        <a:p>
          <a:pPr marL="342900" lvl="0" indent="-342900">
            <a:lnSpc>
              <a:spcPct val="107000"/>
            </a:lnSpc>
            <a:spcAft>
              <a:spcPts val="0"/>
            </a:spcAft>
            <a:buFont typeface="Symbol" panose="05050102010706020507" pitchFamily="18" charset="2"/>
            <a:buChar char=""/>
          </a:pPr>
          <a:endParaRPr lang="en-GB" sz="1400">
            <a:solidFill>
              <a:srgbClr val="002060"/>
            </a:solidFill>
            <a:effectLst/>
            <a:latin typeface="+mn-lt"/>
            <a:cs typeface="Times New Roman" panose="02020603050405020304" pitchFamily="18" charset="0"/>
          </a:endParaRPr>
        </a:p>
        <a:p>
          <a:pPr marL="0" lvl="0" indent="0">
            <a:lnSpc>
              <a:spcPct val="107000"/>
            </a:lnSpc>
            <a:spcAft>
              <a:spcPts val="0"/>
            </a:spcAft>
            <a:buFont typeface="Symbol" panose="05050102010706020507" pitchFamily="18" charset="2"/>
            <a:buNone/>
          </a:pPr>
          <a:endParaRPr lang="en-GB" sz="1400">
            <a:solidFill>
              <a:srgbClr val="002060"/>
            </a:solidFill>
            <a:latin typeface="+mn-lt"/>
          </a:endParaRPr>
        </a:p>
        <a:p>
          <a:pPr marL="0" lvl="0" indent="0">
            <a:lnSpc>
              <a:spcPct val="107000"/>
            </a:lnSpc>
            <a:spcAft>
              <a:spcPts val="0"/>
            </a:spcAft>
            <a:buFont typeface="Symbol" panose="05050102010706020507" pitchFamily="18" charset="2"/>
            <a:buNone/>
          </a:pPr>
          <a:endParaRPr lang="en-GB" sz="1400">
            <a:solidFill>
              <a:srgbClr val="002060"/>
            </a:solidFill>
            <a:latin typeface="+mn-lt"/>
          </a:endParaRP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462CC-2250-410D-AE0A-06DC966A5200}">
  <sheetPr>
    <tabColor theme="8" tint="0.59999389629810485"/>
  </sheetPr>
  <dimension ref="A1:T241"/>
  <sheetViews>
    <sheetView zoomScale="102" workbookViewId="0">
      <selection activeCell="E20" sqref="E20"/>
    </sheetView>
  </sheetViews>
  <sheetFormatPr defaultRowHeight="15.6" x14ac:dyDescent="0.3"/>
  <cols>
    <col min="1" max="1" width="12" style="3" customWidth="1"/>
    <col min="2" max="2" width="22.88671875" customWidth="1"/>
    <col min="3" max="3" width="20.109375" style="1" customWidth="1"/>
    <col min="4" max="4" width="25.88671875" style="1" bestFit="1" customWidth="1"/>
    <col min="5" max="5" width="10.88671875" customWidth="1"/>
    <col min="6" max="6" width="17" customWidth="1"/>
    <col min="7" max="7" width="23.44140625" customWidth="1"/>
    <col min="8" max="8" width="32.33203125" bestFit="1" customWidth="1"/>
    <col min="9" max="9" width="10.44140625" customWidth="1"/>
  </cols>
  <sheetData>
    <row r="1" spans="1:20" ht="15.6" customHeight="1" x14ac:dyDescent="0.3">
      <c r="A1" s="3" t="s">
        <v>0</v>
      </c>
      <c r="B1" t="s">
        <v>1</v>
      </c>
      <c r="C1" s="1" t="s">
        <v>2</v>
      </c>
      <c r="D1" s="5" t="s">
        <v>3</v>
      </c>
      <c r="E1" s="6" t="s">
        <v>4</v>
      </c>
      <c r="F1" s="6" t="s">
        <v>5</v>
      </c>
      <c r="G1" s="6" t="s">
        <v>6</v>
      </c>
      <c r="H1" s="6" t="s">
        <v>7</v>
      </c>
      <c r="J1" s="8"/>
      <c r="K1" s="8"/>
      <c r="L1" s="8"/>
      <c r="M1" s="8"/>
      <c r="N1" s="8"/>
      <c r="P1" s="8"/>
      <c r="Q1" s="8"/>
      <c r="R1" s="8"/>
      <c r="S1" s="8"/>
      <c r="T1" s="8"/>
    </row>
    <row r="2" spans="1:20" ht="15.6" customHeight="1" x14ac:dyDescent="0.3">
      <c r="A2" s="3" t="s">
        <v>103</v>
      </c>
      <c r="B2" s="4">
        <v>10197</v>
      </c>
      <c r="C2" s="1">
        <v>96</v>
      </c>
      <c r="D2" s="1">
        <v>35.200000000000003</v>
      </c>
      <c r="E2" s="9">
        <f>AVERAGE(D2:D100)</f>
        <v>48.487878787878778</v>
      </c>
      <c r="F2" s="2">
        <f>MEDIAN(D2:D100)</f>
        <v>47</v>
      </c>
      <c r="G2" s="2">
        <f>MODE(D2:D100)</f>
        <v>39.799999999999997</v>
      </c>
      <c r="H2" s="9">
        <f>STDEV(D2:D100)</f>
        <v>8.1729053701385279</v>
      </c>
      <c r="J2" s="8"/>
      <c r="K2" s="8"/>
      <c r="L2" s="8"/>
      <c r="M2" s="8"/>
      <c r="N2" s="8"/>
      <c r="P2" s="8"/>
      <c r="Q2" s="8"/>
      <c r="R2" s="8"/>
      <c r="S2" s="8"/>
      <c r="T2" s="8"/>
    </row>
    <row r="3" spans="1:20" ht="15.6" customHeight="1" x14ac:dyDescent="0.3">
      <c r="A3" s="3" t="s">
        <v>54</v>
      </c>
      <c r="B3" s="4">
        <v>8706</v>
      </c>
      <c r="C3" s="1">
        <v>47</v>
      </c>
      <c r="D3" s="1">
        <v>36.299999999999997</v>
      </c>
      <c r="G3" s="2"/>
      <c r="J3" s="8"/>
      <c r="K3" s="8"/>
      <c r="L3" s="8"/>
      <c r="M3" s="8"/>
      <c r="N3" s="8"/>
      <c r="P3" s="8"/>
      <c r="Q3" s="8"/>
      <c r="R3" s="8"/>
      <c r="S3" s="8"/>
      <c r="T3" s="8"/>
    </row>
    <row r="4" spans="1:20" ht="15.6" customHeight="1" x14ac:dyDescent="0.3">
      <c r="A4" s="3" t="s">
        <v>79</v>
      </c>
      <c r="B4" s="4">
        <v>9467</v>
      </c>
      <c r="C4" s="1">
        <v>72</v>
      </c>
      <c r="D4" s="1">
        <v>36.299999999999997</v>
      </c>
      <c r="G4" s="2"/>
      <c r="H4" s="2"/>
      <c r="J4" s="8"/>
      <c r="K4" s="8"/>
      <c r="L4" s="8"/>
      <c r="M4" s="8"/>
      <c r="N4" s="8"/>
      <c r="P4" s="8"/>
      <c r="Q4" s="8"/>
      <c r="R4" s="8"/>
      <c r="S4" s="8"/>
      <c r="T4" s="8"/>
    </row>
    <row r="5" spans="1:20" ht="15.6" customHeight="1" x14ac:dyDescent="0.3">
      <c r="A5" s="3" t="s">
        <v>32</v>
      </c>
      <c r="B5" s="4">
        <v>8037</v>
      </c>
      <c r="C5" s="1">
        <v>25</v>
      </c>
      <c r="D5" s="1">
        <v>37.5</v>
      </c>
      <c r="P5" s="8"/>
      <c r="Q5" s="8"/>
      <c r="R5" s="8"/>
      <c r="S5" s="8"/>
      <c r="T5" s="8"/>
    </row>
    <row r="6" spans="1:20" x14ac:dyDescent="0.3">
      <c r="A6" s="3" t="s">
        <v>57</v>
      </c>
      <c r="B6" s="4">
        <v>8798</v>
      </c>
      <c r="C6" s="1">
        <v>50</v>
      </c>
      <c r="D6" s="1">
        <v>37.5</v>
      </c>
    </row>
    <row r="7" spans="1:20" x14ac:dyDescent="0.3">
      <c r="A7" s="3" t="s">
        <v>55</v>
      </c>
      <c r="B7" s="4">
        <v>8736</v>
      </c>
      <c r="C7" s="1">
        <v>48</v>
      </c>
      <c r="D7" s="1">
        <v>37.6</v>
      </c>
    </row>
    <row r="8" spans="1:20" x14ac:dyDescent="0.3">
      <c r="A8" s="3" t="s">
        <v>78</v>
      </c>
      <c r="B8" s="4">
        <v>9437</v>
      </c>
      <c r="C8" s="1">
        <v>71</v>
      </c>
      <c r="D8" s="1">
        <v>38.1</v>
      </c>
    </row>
    <row r="9" spans="1:20" x14ac:dyDescent="0.3">
      <c r="A9" s="3" t="s">
        <v>58</v>
      </c>
      <c r="B9" s="4">
        <v>8827</v>
      </c>
      <c r="C9" s="1">
        <v>51</v>
      </c>
      <c r="D9" s="1">
        <v>38.299999999999997</v>
      </c>
    </row>
    <row r="10" spans="1:20" x14ac:dyDescent="0.3">
      <c r="A10" s="3" t="s">
        <v>93</v>
      </c>
      <c r="B10" s="4">
        <v>9894</v>
      </c>
      <c r="C10" s="1">
        <v>86</v>
      </c>
      <c r="D10" s="1">
        <v>38.5</v>
      </c>
    </row>
    <row r="11" spans="1:20" x14ac:dyDescent="0.3">
      <c r="A11" s="3" t="s">
        <v>33</v>
      </c>
      <c r="B11" s="4">
        <v>8068</v>
      </c>
      <c r="C11" s="1">
        <v>26</v>
      </c>
      <c r="D11" s="1">
        <v>38.700000000000003</v>
      </c>
    </row>
    <row r="12" spans="1:20" x14ac:dyDescent="0.3">
      <c r="A12" s="3" t="s">
        <v>80</v>
      </c>
      <c r="B12" s="4">
        <v>9498</v>
      </c>
      <c r="C12" s="1">
        <v>73</v>
      </c>
      <c r="D12" s="1">
        <v>39.200000000000003</v>
      </c>
    </row>
    <row r="13" spans="1:20" x14ac:dyDescent="0.3">
      <c r="A13" s="3" t="s">
        <v>56</v>
      </c>
      <c r="B13" s="4">
        <v>8767</v>
      </c>
      <c r="C13" s="1">
        <v>49</v>
      </c>
      <c r="D13" s="1">
        <v>39.299999999999997</v>
      </c>
    </row>
    <row r="14" spans="1:20" x14ac:dyDescent="0.3">
      <c r="A14" s="3" t="s">
        <v>92</v>
      </c>
      <c r="B14" s="4">
        <v>9863</v>
      </c>
      <c r="C14" s="1">
        <v>85</v>
      </c>
      <c r="D14" s="1">
        <v>39.4</v>
      </c>
    </row>
    <row r="15" spans="1:20" x14ac:dyDescent="0.3">
      <c r="A15" s="3" t="s">
        <v>34</v>
      </c>
      <c r="B15" s="4">
        <v>8096</v>
      </c>
      <c r="C15" s="1">
        <v>27</v>
      </c>
      <c r="D15" s="1">
        <v>39.5</v>
      </c>
    </row>
    <row r="16" spans="1:20" x14ac:dyDescent="0.3">
      <c r="A16" s="3" t="s">
        <v>30</v>
      </c>
      <c r="B16" s="4">
        <v>7976</v>
      </c>
      <c r="C16" s="1">
        <v>23</v>
      </c>
      <c r="D16" s="1">
        <v>39.700000000000003</v>
      </c>
      <c r="I16">
        <v>35.200000000000003</v>
      </c>
      <c r="J16">
        <v>48.5</v>
      </c>
      <c r="K16">
        <v>66.3</v>
      </c>
    </row>
    <row r="17" spans="1:11" x14ac:dyDescent="0.3">
      <c r="A17" s="3" t="s">
        <v>19</v>
      </c>
      <c r="B17" s="4">
        <v>7641</v>
      </c>
      <c r="C17" s="1">
        <v>12</v>
      </c>
      <c r="D17" s="1">
        <v>39.799999999999997</v>
      </c>
      <c r="I17">
        <f>+J16-I16</f>
        <v>13.299999999999997</v>
      </c>
      <c r="K17">
        <f>+K16-J16</f>
        <v>17.799999999999997</v>
      </c>
    </row>
    <row r="18" spans="1:11" x14ac:dyDescent="0.3">
      <c r="A18" s="3" t="s">
        <v>21</v>
      </c>
      <c r="B18" s="4">
        <v>7703</v>
      </c>
      <c r="C18" s="1">
        <v>14</v>
      </c>
      <c r="D18" s="1">
        <v>39.799999999999997</v>
      </c>
    </row>
    <row r="19" spans="1:11" x14ac:dyDescent="0.3">
      <c r="A19" s="3" t="s">
        <v>91</v>
      </c>
      <c r="B19" s="4">
        <v>9832</v>
      </c>
      <c r="C19" s="1">
        <v>84</v>
      </c>
      <c r="D19" s="1">
        <v>39.799999999999997</v>
      </c>
      <c r="I19">
        <f>+J16-8.2</f>
        <v>40.299999999999997</v>
      </c>
      <c r="K19">
        <f>+J16+8.2</f>
        <v>56.7</v>
      </c>
    </row>
    <row r="20" spans="1:11" x14ac:dyDescent="0.3">
      <c r="A20" s="3" t="s">
        <v>68</v>
      </c>
      <c r="B20" s="4">
        <v>9133</v>
      </c>
      <c r="C20" s="1">
        <v>61</v>
      </c>
      <c r="D20" s="1">
        <v>40</v>
      </c>
      <c r="J20" s="10">
        <v>0.68</v>
      </c>
    </row>
    <row r="21" spans="1:11" x14ac:dyDescent="0.3">
      <c r="A21" s="3" t="s">
        <v>45</v>
      </c>
      <c r="B21" s="4">
        <v>8433</v>
      </c>
      <c r="C21" s="1">
        <v>38</v>
      </c>
      <c r="D21" s="1">
        <v>40.1</v>
      </c>
    </row>
    <row r="22" spans="1:11" x14ac:dyDescent="0.3">
      <c r="A22" s="3" t="s">
        <v>69</v>
      </c>
      <c r="B22" s="4">
        <v>9164</v>
      </c>
      <c r="C22" s="1">
        <v>62</v>
      </c>
      <c r="D22" s="1">
        <v>40.5</v>
      </c>
    </row>
    <row r="23" spans="1:11" x14ac:dyDescent="0.3">
      <c r="A23" s="3" t="s">
        <v>8</v>
      </c>
      <c r="B23" s="4">
        <v>7306</v>
      </c>
      <c r="C23" s="1">
        <v>1</v>
      </c>
      <c r="D23" s="1">
        <v>40.6</v>
      </c>
    </row>
    <row r="24" spans="1:11" x14ac:dyDescent="0.3">
      <c r="A24" s="3" t="s">
        <v>9</v>
      </c>
      <c r="B24" s="4">
        <v>7337</v>
      </c>
      <c r="C24" s="1">
        <v>2</v>
      </c>
      <c r="D24" s="1">
        <v>40.799999999999997</v>
      </c>
    </row>
    <row r="25" spans="1:11" x14ac:dyDescent="0.3">
      <c r="A25" s="3" t="s">
        <v>70</v>
      </c>
      <c r="B25" s="4">
        <v>9192</v>
      </c>
      <c r="C25" s="1">
        <v>63</v>
      </c>
      <c r="D25" s="1">
        <v>40.799999999999997</v>
      </c>
    </row>
    <row r="26" spans="1:11" x14ac:dyDescent="0.3">
      <c r="A26" s="3" t="s">
        <v>104</v>
      </c>
      <c r="B26" s="4">
        <v>10228</v>
      </c>
      <c r="C26" s="1">
        <v>97</v>
      </c>
      <c r="D26" s="1">
        <v>40.799999999999997</v>
      </c>
    </row>
    <row r="27" spans="1:11" x14ac:dyDescent="0.3">
      <c r="A27" s="3" t="s">
        <v>105</v>
      </c>
      <c r="B27" s="4">
        <v>10259</v>
      </c>
      <c r="C27" s="1">
        <v>98</v>
      </c>
      <c r="D27" s="1">
        <v>41.1</v>
      </c>
    </row>
    <row r="28" spans="1:11" x14ac:dyDescent="0.3">
      <c r="A28" s="3" t="s">
        <v>90</v>
      </c>
      <c r="B28" s="4">
        <v>9802</v>
      </c>
      <c r="C28" s="1">
        <v>83</v>
      </c>
      <c r="D28" s="1">
        <v>41.6</v>
      </c>
    </row>
    <row r="29" spans="1:11" x14ac:dyDescent="0.3">
      <c r="A29" s="3" t="s">
        <v>43</v>
      </c>
      <c r="B29" s="4">
        <v>8371</v>
      </c>
      <c r="C29" s="1">
        <v>36</v>
      </c>
      <c r="D29" s="1">
        <v>41.7</v>
      </c>
    </row>
    <row r="30" spans="1:11" x14ac:dyDescent="0.3">
      <c r="A30" s="3" t="s">
        <v>42</v>
      </c>
      <c r="B30" s="4">
        <v>8341</v>
      </c>
      <c r="C30" s="1">
        <v>35</v>
      </c>
      <c r="D30" s="1">
        <v>41.8</v>
      </c>
    </row>
    <row r="31" spans="1:11" x14ac:dyDescent="0.3">
      <c r="A31" s="3" t="s">
        <v>44</v>
      </c>
      <c r="B31" s="4">
        <v>8402</v>
      </c>
      <c r="C31" s="1">
        <v>37</v>
      </c>
      <c r="D31" s="1">
        <v>41.8</v>
      </c>
    </row>
    <row r="32" spans="1:11" x14ac:dyDescent="0.3">
      <c r="A32" s="3" t="s">
        <v>35</v>
      </c>
      <c r="B32" s="4">
        <v>8127</v>
      </c>
      <c r="C32" s="1">
        <v>28</v>
      </c>
      <c r="D32" s="1">
        <v>42.1</v>
      </c>
    </row>
    <row r="33" spans="1:4" x14ac:dyDescent="0.3">
      <c r="A33" s="3" t="s">
        <v>102</v>
      </c>
      <c r="B33" s="4">
        <v>10167</v>
      </c>
      <c r="C33" s="1">
        <v>95</v>
      </c>
      <c r="D33" s="1">
        <v>42.3</v>
      </c>
    </row>
    <row r="34" spans="1:4" x14ac:dyDescent="0.3">
      <c r="A34" s="3" t="s">
        <v>31</v>
      </c>
      <c r="B34" s="4">
        <v>8006</v>
      </c>
      <c r="C34" s="1">
        <v>24</v>
      </c>
      <c r="D34" s="1">
        <v>42.8</v>
      </c>
    </row>
    <row r="35" spans="1:4" x14ac:dyDescent="0.3">
      <c r="A35" s="3" t="s">
        <v>106</v>
      </c>
      <c r="B35" s="4">
        <v>10288</v>
      </c>
      <c r="C35" s="1">
        <v>99</v>
      </c>
      <c r="D35" s="1">
        <v>42.8</v>
      </c>
    </row>
    <row r="36" spans="1:4" x14ac:dyDescent="0.3">
      <c r="A36" s="3" t="s">
        <v>18</v>
      </c>
      <c r="B36" s="4">
        <v>7611</v>
      </c>
      <c r="C36" s="1">
        <v>11</v>
      </c>
      <c r="D36" s="1">
        <v>42.9</v>
      </c>
    </row>
    <row r="37" spans="1:4" x14ac:dyDescent="0.3">
      <c r="A37" s="3" t="s">
        <v>46</v>
      </c>
      <c r="B37" s="4">
        <v>8461</v>
      </c>
      <c r="C37" s="1">
        <v>39</v>
      </c>
      <c r="D37" s="1">
        <v>42.9</v>
      </c>
    </row>
    <row r="38" spans="1:4" x14ac:dyDescent="0.3">
      <c r="A38" s="3" t="s">
        <v>81</v>
      </c>
      <c r="B38" s="4">
        <v>9529</v>
      </c>
      <c r="C38" s="1">
        <v>74</v>
      </c>
      <c r="D38" s="1">
        <v>43.4</v>
      </c>
    </row>
    <row r="39" spans="1:4" x14ac:dyDescent="0.3">
      <c r="A39" s="3" t="s">
        <v>82</v>
      </c>
      <c r="B39" s="4">
        <v>9557</v>
      </c>
      <c r="C39" s="1">
        <v>75</v>
      </c>
      <c r="D39" s="1">
        <v>43.4</v>
      </c>
    </row>
    <row r="40" spans="1:4" x14ac:dyDescent="0.3">
      <c r="A40" s="3" t="s">
        <v>67</v>
      </c>
      <c r="B40" s="4">
        <v>9102</v>
      </c>
      <c r="C40" s="1">
        <v>60</v>
      </c>
      <c r="D40" s="1">
        <v>43.6</v>
      </c>
    </row>
    <row r="41" spans="1:4" x14ac:dyDescent="0.3">
      <c r="A41" s="3" t="s">
        <v>20</v>
      </c>
      <c r="B41" s="4">
        <v>7672</v>
      </c>
      <c r="C41" s="1">
        <v>13</v>
      </c>
      <c r="D41" s="1">
        <v>44.2</v>
      </c>
    </row>
    <row r="42" spans="1:4" x14ac:dyDescent="0.3">
      <c r="A42" s="3" t="s">
        <v>10</v>
      </c>
      <c r="B42" s="4">
        <v>7366</v>
      </c>
      <c r="C42" s="1">
        <v>3</v>
      </c>
      <c r="D42" s="1">
        <v>44.4</v>
      </c>
    </row>
    <row r="43" spans="1:4" x14ac:dyDescent="0.3">
      <c r="A43" s="3" t="s">
        <v>66</v>
      </c>
      <c r="B43" s="4">
        <v>9072</v>
      </c>
      <c r="C43" s="1">
        <v>59</v>
      </c>
      <c r="D43" s="1">
        <v>44.4</v>
      </c>
    </row>
    <row r="44" spans="1:4" x14ac:dyDescent="0.3">
      <c r="A44" s="3" t="s">
        <v>22</v>
      </c>
      <c r="B44" s="4">
        <v>7731</v>
      </c>
      <c r="C44" s="1">
        <v>15</v>
      </c>
      <c r="D44" s="1">
        <v>45.1</v>
      </c>
    </row>
    <row r="45" spans="1:4" x14ac:dyDescent="0.3">
      <c r="A45" s="3" t="s">
        <v>71</v>
      </c>
      <c r="B45" s="4">
        <v>9223</v>
      </c>
      <c r="C45" s="1">
        <v>64</v>
      </c>
      <c r="D45" s="1">
        <v>45.1</v>
      </c>
    </row>
    <row r="46" spans="1:4" x14ac:dyDescent="0.3">
      <c r="A46" s="3" t="s">
        <v>94</v>
      </c>
      <c r="B46" s="4">
        <v>9922</v>
      </c>
      <c r="C46" s="1">
        <v>87</v>
      </c>
      <c r="D46" s="1">
        <v>45.3</v>
      </c>
    </row>
    <row r="47" spans="1:4" x14ac:dyDescent="0.3">
      <c r="A47" s="3" t="s">
        <v>59</v>
      </c>
      <c r="B47" s="4">
        <v>8858</v>
      </c>
      <c r="C47" s="1">
        <v>52</v>
      </c>
      <c r="D47" s="1">
        <v>45.5</v>
      </c>
    </row>
    <row r="48" spans="1:4" x14ac:dyDescent="0.3">
      <c r="A48" s="3" t="s">
        <v>47</v>
      </c>
      <c r="B48" s="4">
        <v>8492</v>
      </c>
      <c r="C48" s="1">
        <v>40</v>
      </c>
      <c r="D48" s="1">
        <v>45.8</v>
      </c>
    </row>
    <row r="49" spans="1:4" x14ac:dyDescent="0.3">
      <c r="A49" s="3" t="s">
        <v>11</v>
      </c>
      <c r="B49" s="4">
        <v>7397</v>
      </c>
      <c r="C49" s="1">
        <v>4</v>
      </c>
      <c r="D49" s="1">
        <v>46.7</v>
      </c>
    </row>
    <row r="50" spans="1:4" x14ac:dyDescent="0.3">
      <c r="A50" s="3" t="s">
        <v>89</v>
      </c>
      <c r="B50" s="4">
        <v>9771</v>
      </c>
      <c r="C50" s="1">
        <v>82</v>
      </c>
      <c r="D50" s="1">
        <v>46.7</v>
      </c>
    </row>
    <row r="51" spans="1:4" x14ac:dyDescent="0.3">
      <c r="A51" s="3" t="s">
        <v>23</v>
      </c>
      <c r="B51" s="4">
        <v>7762</v>
      </c>
      <c r="C51" s="1">
        <v>16</v>
      </c>
      <c r="D51" s="1">
        <v>47</v>
      </c>
    </row>
    <row r="52" spans="1:4" x14ac:dyDescent="0.3">
      <c r="A52" s="3" t="s">
        <v>41</v>
      </c>
      <c r="B52" s="4">
        <v>8310</v>
      </c>
      <c r="C52" s="1">
        <v>34</v>
      </c>
      <c r="D52" s="1">
        <v>47.1</v>
      </c>
    </row>
    <row r="53" spans="1:4" x14ac:dyDescent="0.3">
      <c r="A53" s="3" t="s">
        <v>95</v>
      </c>
      <c r="B53" s="4">
        <v>9953</v>
      </c>
      <c r="C53" s="1">
        <v>88</v>
      </c>
      <c r="D53" s="1">
        <v>47.1</v>
      </c>
    </row>
    <row r="54" spans="1:4" x14ac:dyDescent="0.3">
      <c r="A54" s="3" t="s">
        <v>83</v>
      </c>
      <c r="B54" s="4">
        <v>9588</v>
      </c>
      <c r="C54" s="1">
        <v>76</v>
      </c>
      <c r="D54" s="1">
        <v>48.9</v>
      </c>
    </row>
    <row r="55" spans="1:4" x14ac:dyDescent="0.3">
      <c r="A55" s="3" t="s">
        <v>48</v>
      </c>
      <c r="B55" s="4">
        <v>8522</v>
      </c>
      <c r="C55" s="1">
        <v>41</v>
      </c>
      <c r="D55" s="1">
        <v>49.2</v>
      </c>
    </row>
    <row r="56" spans="1:4" x14ac:dyDescent="0.3">
      <c r="A56" s="3" t="s">
        <v>53</v>
      </c>
      <c r="B56" s="4">
        <v>8675</v>
      </c>
      <c r="C56" s="1">
        <v>46</v>
      </c>
      <c r="D56" s="1">
        <v>49.2</v>
      </c>
    </row>
    <row r="57" spans="1:4" x14ac:dyDescent="0.3">
      <c r="A57" s="3" t="s">
        <v>65</v>
      </c>
      <c r="B57" s="4">
        <v>9041</v>
      </c>
      <c r="C57" s="1">
        <v>58</v>
      </c>
      <c r="D57" s="1">
        <v>49.8</v>
      </c>
    </row>
    <row r="58" spans="1:4" x14ac:dyDescent="0.3">
      <c r="A58" s="3" t="s">
        <v>77</v>
      </c>
      <c r="B58" s="4">
        <v>9406</v>
      </c>
      <c r="C58" s="1">
        <v>70</v>
      </c>
      <c r="D58" s="1">
        <v>50</v>
      </c>
    </row>
    <row r="59" spans="1:4" x14ac:dyDescent="0.3">
      <c r="A59" s="3" t="s">
        <v>101</v>
      </c>
      <c r="B59" s="4">
        <v>10136</v>
      </c>
      <c r="C59" s="1">
        <v>94</v>
      </c>
      <c r="D59" s="1">
        <v>50.3</v>
      </c>
    </row>
    <row r="60" spans="1:4" x14ac:dyDescent="0.3">
      <c r="A60" s="3" t="s">
        <v>17</v>
      </c>
      <c r="B60" s="4">
        <v>7580</v>
      </c>
      <c r="C60" s="1">
        <v>10</v>
      </c>
      <c r="D60" s="1">
        <v>50.5</v>
      </c>
    </row>
    <row r="61" spans="1:4" x14ac:dyDescent="0.3">
      <c r="A61" s="3" t="s">
        <v>84</v>
      </c>
      <c r="B61" s="4">
        <v>9618</v>
      </c>
      <c r="C61" s="1">
        <v>77</v>
      </c>
      <c r="D61" s="1">
        <v>50.6</v>
      </c>
    </row>
    <row r="62" spans="1:4" x14ac:dyDescent="0.3">
      <c r="A62" s="3" t="s">
        <v>96</v>
      </c>
      <c r="B62" s="4">
        <v>9983</v>
      </c>
      <c r="C62" s="1">
        <v>89</v>
      </c>
      <c r="D62" s="1">
        <v>51.7</v>
      </c>
    </row>
    <row r="63" spans="1:4" x14ac:dyDescent="0.3">
      <c r="A63" s="3" t="s">
        <v>49</v>
      </c>
      <c r="B63" s="4">
        <v>8553</v>
      </c>
      <c r="C63" s="1">
        <v>42</v>
      </c>
      <c r="D63" s="1">
        <v>52.7</v>
      </c>
    </row>
    <row r="64" spans="1:4" x14ac:dyDescent="0.3">
      <c r="A64" s="3" t="s">
        <v>76</v>
      </c>
      <c r="B64" s="4">
        <v>9376</v>
      </c>
      <c r="C64" s="1">
        <v>69</v>
      </c>
      <c r="D64" s="1">
        <v>53</v>
      </c>
    </row>
    <row r="65" spans="1:4" x14ac:dyDescent="0.3">
      <c r="A65" s="3" t="s">
        <v>60</v>
      </c>
      <c r="B65" s="4">
        <v>8888</v>
      </c>
      <c r="C65" s="1">
        <v>53</v>
      </c>
      <c r="D65" s="1">
        <v>53.2</v>
      </c>
    </row>
    <row r="66" spans="1:4" x14ac:dyDescent="0.3">
      <c r="A66" s="3" t="s">
        <v>72</v>
      </c>
      <c r="B66" s="4">
        <v>9253</v>
      </c>
      <c r="C66" s="1">
        <v>65</v>
      </c>
      <c r="D66" s="1">
        <v>53.8</v>
      </c>
    </row>
    <row r="67" spans="1:4" x14ac:dyDescent="0.3">
      <c r="A67" s="3" t="s">
        <v>12</v>
      </c>
      <c r="B67" s="4">
        <v>7427</v>
      </c>
      <c r="C67" s="1">
        <v>5</v>
      </c>
      <c r="D67" s="1">
        <v>54.1</v>
      </c>
    </row>
    <row r="68" spans="1:4" x14ac:dyDescent="0.3">
      <c r="A68" s="3" t="s">
        <v>24</v>
      </c>
      <c r="B68" s="4">
        <v>7792</v>
      </c>
      <c r="C68" s="1">
        <v>17</v>
      </c>
      <c r="D68" s="1">
        <v>54.1</v>
      </c>
    </row>
    <row r="69" spans="1:4" x14ac:dyDescent="0.3">
      <c r="A69" s="3" t="s">
        <v>29</v>
      </c>
      <c r="B69" s="4">
        <v>7945</v>
      </c>
      <c r="C69" s="1">
        <v>22</v>
      </c>
      <c r="D69" s="1">
        <v>54.2</v>
      </c>
    </row>
    <row r="70" spans="1:4" x14ac:dyDescent="0.3">
      <c r="A70" s="3" t="s">
        <v>16</v>
      </c>
      <c r="B70" s="4">
        <v>7550</v>
      </c>
      <c r="C70" s="1">
        <v>9</v>
      </c>
      <c r="D70" s="1">
        <v>54.3</v>
      </c>
    </row>
    <row r="71" spans="1:4" x14ac:dyDescent="0.3">
      <c r="A71" s="3" t="s">
        <v>39</v>
      </c>
      <c r="B71" s="4">
        <v>8249</v>
      </c>
      <c r="C71" s="1">
        <v>32</v>
      </c>
      <c r="D71" s="1">
        <v>54.3</v>
      </c>
    </row>
    <row r="72" spans="1:4" x14ac:dyDescent="0.3">
      <c r="A72" s="3" t="s">
        <v>40</v>
      </c>
      <c r="B72" s="4">
        <v>8280</v>
      </c>
      <c r="C72" s="1">
        <v>33</v>
      </c>
      <c r="D72" s="1">
        <v>54.3</v>
      </c>
    </row>
    <row r="73" spans="1:4" x14ac:dyDescent="0.3">
      <c r="A73" s="3" t="s">
        <v>52</v>
      </c>
      <c r="B73" s="4">
        <v>8645</v>
      </c>
      <c r="C73" s="1">
        <v>45</v>
      </c>
      <c r="D73" s="1">
        <v>54.4</v>
      </c>
    </row>
    <row r="74" spans="1:4" x14ac:dyDescent="0.3">
      <c r="A74" s="3" t="s">
        <v>100</v>
      </c>
      <c r="B74" s="4">
        <v>10106</v>
      </c>
      <c r="C74" s="1">
        <v>93</v>
      </c>
      <c r="D74" s="1">
        <v>54.7</v>
      </c>
    </row>
    <row r="75" spans="1:4" x14ac:dyDescent="0.3">
      <c r="A75" s="3" t="s">
        <v>97</v>
      </c>
      <c r="B75" s="4">
        <v>10014</v>
      </c>
      <c r="C75" s="1">
        <v>90</v>
      </c>
      <c r="D75" s="1">
        <v>55</v>
      </c>
    </row>
    <row r="76" spans="1:4" x14ac:dyDescent="0.3">
      <c r="A76" s="3" t="s">
        <v>36</v>
      </c>
      <c r="B76" s="4">
        <v>8157</v>
      </c>
      <c r="C76" s="1">
        <v>29</v>
      </c>
      <c r="D76" s="1">
        <v>55.7</v>
      </c>
    </row>
    <row r="77" spans="1:4" x14ac:dyDescent="0.3">
      <c r="A77" s="3" t="s">
        <v>15</v>
      </c>
      <c r="B77" s="4">
        <v>7519</v>
      </c>
      <c r="C77" s="1">
        <v>8</v>
      </c>
      <c r="D77" s="1">
        <v>56.4</v>
      </c>
    </row>
    <row r="78" spans="1:4" x14ac:dyDescent="0.3">
      <c r="A78" s="3" t="s">
        <v>64</v>
      </c>
      <c r="B78" s="4">
        <v>9011</v>
      </c>
      <c r="C78" s="1">
        <v>57</v>
      </c>
      <c r="D78" s="1">
        <v>56.4</v>
      </c>
    </row>
    <row r="79" spans="1:4" x14ac:dyDescent="0.3">
      <c r="A79" s="3" t="s">
        <v>38</v>
      </c>
      <c r="B79" s="4">
        <v>8218</v>
      </c>
      <c r="C79" s="1">
        <v>31</v>
      </c>
      <c r="D79" s="1">
        <v>56.8</v>
      </c>
    </row>
    <row r="80" spans="1:4" x14ac:dyDescent="0.3">
      <c r="A80" s="3" t="s">
        <v>85</v>
      </c>
      <c r="B80" s="4">
        <v>9649</v>
      </c>
      <c r="C80" s="1">
        <v>78</v>
      </c>
      <c r="D80" s="1">
        <v>56.8</v>
      </c>
    </row>
    <row r="81" spans="1:4" x14ac:dyDescent="0.3">
      <c r="A81" s="3" t="s">
        <v>28</v>
      </c>
      <c r="B81" s="4">
        <v>7915</v>
      </c>
      <c r="C81" s="1">
        <v>21</v>
      </c>
      <c r="D81" s="1">
        <v>57</v>
      </c>
    </row>
    <row r="82" spans="1:4" x14ac:dyDescent="0.3">
      <c r="A82" s="3" t="s">
        <v>88</v>
      </c>
      <c r="B82" s="4">
        <v>9741</v>
      </c>
      <c r="C82" s="1">
        <v>81</v>
      </c>
      <c r="D82" s="1">
        <v>57.5</v>
      </c>
    </row>
    <row r="83" spans="1:4" x14ac:dyDescent="0.3">
      <c r="A83" s="3" t="s">
        <v>14</v>
      </c>
      <c r="B83" s="4">
        <v>7488</v>
      </c>
      <c r="C83" s="1">
        <v>7</v>
      </c>
      <c r="D83" s="1">
        <v>57.7</v>
      </c>
    </row>
    <row r="84" spans="1:4" x14ac:dyDescent="0.3">
      <c r="A84" s="3" t="s">
        <v>61</v>
      </c>
      <c r="B84" s="4">
        <v>8919</v>
      </c>
      <c r="C84" s="1">
        <v>54</v>
      </c>
      <c r="D84" s="1">
        <v>57.7</v>
      </c>
    </row>
    <row r="85" spans="1:4" x14ac:dyDescent="0.3">
      <c r="A85" s="3" t="s">
        <v>37</v>
      </c>
      <c r="B85" s="4">
        <v>8188</v>
      </c>
      <c r="C85" s="1">
        <v>30</v>
      </c>
      <c r="D85" s="1">
        <v>57.8</v>
      </c>
    </row>
    <row r="86" spans="1:4" x14ac:dyDescent="0.3">
      <c r="A86" s="3" t="s">
        <v>63</v>
      </c>
      <c r="B86" s="4">
        <v>8980</v>
      </c>
      <c r="C86" s="1">
        <v>56</v>
      </c>
      <c r="D86" s="1">
        <v>58.2</v>
      </c>
    </row>
    <row r="87" spans="1:4" x14ac:dyDescent="0.3">
      <c r="A87" s="3" t="s">
        <v>13</v>
      </c>
      <c r="B87" s="4">
        <v>7458</v>
      </c>
      <c r="C87" s="1">
        <v>6</v>
      </c>
      <c r="D87" s="1">
        <v>58.5</v>
      </c>
    </row>
    <row r="88" spans="1:4" x14ac:dyDescent="0.3">
      <c r="A88" s="3" t="s">
        <v>25</v>
      </c>
      <c r="B88" s="4">
        <v>7823</v>
      </c>
      <c r="C88" s="1">
        <v>18</v>
      </c>
      <c r="D88" s="1">
        <v>58.7</v>
      </c>
    </row>
    <row r="89" spans="1:4" x14ac:dyDescent="0.3">
      <c r="A89" s="3" t="s">
        <v>73</v>
      </c>
      <c r="B89" s="4">
        <v>9284</v>
      </c>
      <c r="C89" s="1">
        <v>66</v>
      </c>
      <c r="D89" s="1">
        <v>59.4</v>
      </c>
    </row>
    <row r="90" spans="1:4" x14ac:dyDescent="0.3">
      <c r="A90" s="3" t="s">
        <v>51</v>
      </c>
      <c r="B90" s="4">
        <v>8614</v>
      </c>
      <c r="C90" s="1">
        <v>44</v>
      </c>
      <c r="D90" s="1">
        <v>59.6</v>
      </c>
    </row>
    <row r="91" spans="1:4" x14ac:dyDescent="0.3">
      <c r="A91" s="3" t="s">
        <v>27</v>
      </c>
      <c r="B91" s="4">
        <v>7884</v>
      </c>
      <c r="C91" s="1">
        <v>20</v>
      </c>
      <c r="D91" s="1">
        <v>59.9</v>
      </c>
    </row>
    <row r="92" spans="1:4" x14ac:dyDescent="0.3">
      <c r="A92" s="3" t="s">
        <v>98</v>
      </c>
      <c r="B92" s="4">
        <v>10044</v>
      </c>
      <c r="C92" s="1">
        <v>91</v>
      </c>
      <c r="D92" s="1">
        <v>60.4</v>
      </c>
    </row>
    <row r="93" spans="1:4" x14ac:dyDescent="0.3">
      <c r="A93" s="3" t="s">
        <v>99</v>
      </c>
      <c r="B93" s="4">
        <v>10075</v>
      </c>
      <c r="C93" s="1">
        <v>92</v>
      </c>
      <c r="D93" s="1">
        <v>60.5</v>
      </c>
    </row>
    <row r="94" spans="1:4" x14ac:dyDescent="0.3">
      <c r="A94" s="3" t="s">
        <v>62</v>
      </c>
      <c r="B94" s="4">
        <v>8949</v>
      </c>
      <c r="C94" s="1">
        <v>55</v>
      </c>
      <c r="D94" s="1">
        <v>60.8</v>
      </c>
    </row>
    <row r="95" spans="1:4" x14ac:dyDescent="0.3">
      <c r="A95" s="3" t="s">
        <v>75</v>
      </c>
      <c r="B95" s="4">
        <v>9345</v>
      </c>
      <c r="C95" s="1">
        <v>68</v>
      </c>
      <c r="D95" s="1">
        <v>61</v>
      </c>
    </row>
    <row r="96" spans="1:4" x14ac:dyDescent="0.3">
      <c r="A96" s="3" t="s">
        <v>87</v>
      </c>
      <c r="B96" s="4">
        <v>9710</v>
      </c>
      <c r="C96" s="1">
        <v>80</v>
      </c>
      <c r="D96" s="1">
        <v>62</v>
      </c>
    </row>
    <row r="97" spans="1:4" x14ac:dyDescent="0.3">
      <c r="A97" s="3" t="s">
        <v>86</v>
      </c>
      <c r="B97" s="4">
        <v>9679</v>
      </c>
      <c r="C97" s="1">
        <v>79</v>
      </c>
      <c r="D97" s="1">
        <v>62.5</v>
      </c>
    </row>
    <row r="98" spans="1:4" x14ac:dyDescent="0.3">
      <c r="A98" s="3" t="s">
        <v>74</v>
      </c>
      <c r="B98" s="4">
        <v>9314</v>
      </c>
      <c r="C98" s="1">
        <v>67</v>
      </c>
      <c r="D98" s="1">
        <v>63.5</v>
      </c>
    </row>
    <row r="99" spans="1:4" x14ac:dyDescent="0.3">
      <c r="A99" s="3" t="s">
        <v>50</v>
      </c>
      <c r="B99" s="4">
        <v>8583</v>
      </c>
      <c r="C99" s="1">
        <v>43</v>
      </c>
      <c r="D99" s="1">
        <v>64.2</v>
      </c>
    </row>
    <row r="100" spans="1:4" x14ac:dyDescent="0.3">
      <c r="A100" s="3" t="s">
        <v>26</v>
      </c>
      <c r="B100" s="4">
        <v>7853</v>
      </c>
      <c r="C100" s="1">
        <v>19</v>
      </c>
      <c r="D100" s="1">
        <v>66.3</v>
      </c>
    </row>
    <row r="101" spans="1:4" x14ac:dyDescent="0.3">
      <c r="A101" s="3" t="s">
        <v>107</v>
      </c>
      <c r="B101" s="4">
        <v>10319</v>
      </c>
      <c r="C101" s="1">
        <v>100</v>
      </c>
    </row>
    <row r="102" spans="1:4" x14ac:dyDescent="0.3">
      <c r="A102" s="3" t="s">
        <v>108</v>
      </c>
      <c r="B102" s="4">
        <v>10349</v>
      </c>
      <c r="C102" s="1">
        <v>101</v>
      </c>
    </row>
    <row r="103" spans="1:4" x14ac:dyDescent="0.3">
      <c r="A103" s="3" t="s">
        <v>109</v>
      </c>
      <c r="B103" s="4">
        <v>10380</v>
      </c>
      <c r="C103" s="1">
        <v>102</v>
      </c>
    </row>
    <row r="104" spans="1:4" x14ac:dyDescent="0.3">
      <c r="A104" s="3" t="s">
        <v>110</v>
      </c>
      <c r="B104" s="4">
        <v>10410</v>
      </c>
      <c r="C104" s="1">
        <v>103</v>
      </c>
    </row>
    <row r="105" spans="1:4" x14ac:dyDescent="0.3">
      <c r="A105" s="3" t="s">
        <v>111</v>
      </c>
      <c r="B105" s="4">
        <v>10441</v>
      </c>
      <c r="C105" s="1">
        <v>104</v>
      </c>
    </row>
    <row r="106" spans="1:4" x14ac:dyDescent="0.3">
      <c r="A106" s="3" t="s">
        <v>112</v>
      </c>
      <c r="B106" s="4">
        <v>10472</v>
      </c>
      <c r="C106" s="1">
        <v>105</v>
      </c>
    </row>
    <row r="107" spans="1:4" x14ac:dyDescent="0.3">
      <c r="A107" s="3" t="s">
        <v>113</v>
      </c>
      <c r="B107" s="4">
        <v>10502</v>
      </c>
      <c r="C107" s="1">
        <v>106</v>
      </c>
    </row>
    <row r="108" spans="1:4" x14ac:dyDescent="0.3">
      <c r="A108" s="3" t="s">
        <v>114</v>
      </c>
      <c r="B108" s="4">
        <v>10533</v>
      </c>
      <c r="C108" s="1">
        <v>107</v>
      </c>
    </row>
    <row r="109" spans="1:4" x14ac:dyDescent="0.3">
      <c r="A109" s="3" t="s">
        <v>115</v>
      </c>
      <c r="B109" s="4">
        <v>10563</v>
      </c>
      <c r="C109" s="1">
        <v>108</v>
      </c>
    </row>
    <row r="110" spans="1:4" x14ac:dyDescent="0.3">
      <c r="A110" s="3" t="s">
        <v>116</v>
      </c>
      <c r="B110" s="4">
        <v>10594</v>
      </c>
      <c r="C110" s="1">
        <v>109</v>
      </c>
    </row>
    <row r="111" spans="1:4" x14ac:dyDescent="0.3">
      <c r="A111" s="3" t="s">
        <v>117</v>
      </c>
      <c r="B111" s="4">
        <v>10625</v>
      </c>
      <c r="C111" s="1">
        <v>110</v>
      </c>
    </row>
    <row r="112" spans="1:4" x14ac:dyDescent="0.3">
      <c r="A112" s="3" t="s">
        <v>118</v>
      </c>
      <c r="B112" s="4">
        <v>10653</v>
      </c>
      <c r="C112" s="1">
        <v>111</v>
      </c>
    </row>
    <row r="113" spans="1:3" x14ac:dyDescent="0.3">
      <c r="A113" s="3" t="s">
        <v>119</v>
      </c>
      <c r="B113" s="4">
        <v>10684</v>
      </c>
      <c r="C113" s="1">
        <v>112</v>
      </c>
    </row>
    <row r="114" spans="1:3" x14ac:dyDescent="0.3">
      <c r="A114" s="3" t="s">
        <v>120</v>
      </c>
      <c r="B114" s="4">
        <v>10714</v>
      </c>
      <c r="C114" s="1">
        <v>113</v>
      </c>
    </row>
    <row r="115" spans="1:3" x14ac:dyDescent="0.3">
      <c r="A115" s="3" t="s">
        <v>121</v>
      </c>
      <c r="B115" s="4">
        <v>10745</v>
      </c>
      <c r="C115" s="1">
        <v>114</v>
      </c>
    </row>
    <row r="116" spans="1:3" x14ac:dyDescent="0.3">
      <c r="A116" s="3" t="s">
        <v>122</v>
      </c>
      <c r="B116" s="4">
        <v>10775</v>
      </c>
      <c r="C116" s="1">
        <v>115</v>
      </c>
    </row>
    <row r="117" spans="1:3" x14ac:dyDescent="0.3">
      <c r="A117" s="3" t="s">
        <v>123</v>
      </c>
      <c r="B117" s="4">
        <v>10806</v>
      </c>
      <c r="C117" s="1">
        <v>116</v>
      </c>
    </row>
    <row r="118" spans="1:3" x14ac:dyDescent="0.3">
      <c r="A118" s="3" t="s">
        <v>124</v>
      </c>
      <c r="B118" s="4">
        <v>10837</v>
      </c>
      <c r="C118" s="1">
        <v>117</v>
      </c>
    </row>
    <row r="119" spans="1:3" x14ac:dyDescent="0.3">
      <c r="A119" s="3" t="s">
        <v>125</v>
      </c>
      <c r="B119" s="4">
        <v>10867</v>
      </c>
      <c r="C119" s="1">
        <v>118</v>
      </c>
    </row>
    <row r="120" spans="1:3" x14ac:dyDescent="0.3">
      <c r="A120" s="3" t="s">
        <v>126</v>
      </c>
      <c r="B120" s="4">
        <v>10898</v>
      </c>
      <c r="C120" s="1">
        <v>119</v>
      </c>
    </row>
    <row r="121" spans="1:3" x14ac:dyDescent="0.3">
      <c r="A121" s="3" t="s">
        <v>127</v>
      </c>
      <c r="B121" s="4">
        <v>10928</v>
      </c>
      <c r="C121" s="1">
        <v>120</v>
      </c>
    </row>
    <row r="122" spans="1:3" x14ac:dyDescent="0.3">
      <c r="A122" s="3" t="s">
        <v>128</v>
      </c>
      <c r="B122" s="4">
        <v>10959</v>
      </c>
      <c r="C122" s="1">
        <v>121</v>
      </c>
    </row>
    <row r="123" spans="1:3" x14ac:dyDescent="0.3">
      <c r="A123" s="3" t="s">
        <v>129</v>
      </c>
      <c r="B123" s="4">
        <v>10990</v>
      </c>
      <c r="C123" s="1">
        <v>122</v>
      </c>
    </row>
    <row r="124" spans="1:3" x14ac:dyDescent="0.3">
      <c r="A124" s="3" t="s">
        <v>130</v>
      </c>
      <c r="B124" s="4">
        <v>11018</v>
      </c>
      <c r="C124" s="1">
        <v>123</v>
      </c>
    </row>
    <row r="125" spans="1:3" x14ac:dyDescent="0.3">
      <c r="A125" s="3" t="s">
        <v>131</v>
      </c>
      <c r="B125" s="4">
        <v>11049</v>
      </c>
      <c r="C125" s="1">
        <v>124</v>
      </c>
    </row>
    <row r="126" spans="1:3" x14ac:dyDescent="0.3">
      <c r="A126" s="3" t="s">
        <v>132</v>
      </c>
      <c r="B126" s="4">
        <v>11079</v>
      </c>
      <c r="C126" s="1">
        <v>125</v>
      </c>
    </row>
    <row r="127" spans="1:3" x14ac:dyDescent="0.3">
      <c r="A127" s="3" t="s">
        <v>133</v>
      </c>
      <c r="B127" s="4">
        <v>11110</v>
      </c>
      <c r="C127" s="1">
        <v>126</v>
      </c>
    </row>
    <row r="128" spans="1:3" x14ac:dyDescent="0.3">
      <c r="A128" s="3" t="s">
        <v>134</v>
      </c>
      <c r="B128" s="4">
        <v>11140</v>
      </c>
      <c r="C128" s="1">
        <v>127</v>
      </c>
    </row>
    <row r="129" spans="1:3" x14ac:dyDescent="0.3">
      <c r="A129" s="3" t="s">
        <v>135</v>
      </c>
      <c r="B129" s="4">
        <v>11171</v>
      </c>
      <c r="C129" s="1">
        <v>128</v>
      </c>
    </row>
    <row r="130" spans="1:3" x14ac:dyDescent="0.3">
      <c r="A130" s="3" t="s">
        <v>136</v>
      </c>
      <c r="B130" s="4">
        <v>11202</v>
      </c>
      <c r="C130" s="1">
        <v>129</v>
      </c>
    </row>
    <row r="131" spans="1:3" x14ac:dyDescent="0.3">
      <c r="A131" s="3" t="s">
        <v>137</v>
      </c>
      <c r="B131" s="4">
        <v>11232</v>
      </c>
      <c r="C131" s="1">
        <v>130</v>
      </c>
    </row>
    <row r="132" spans="1:3" x14ac:dyDescent="0.3">
      <c r="A132" s="3" t="s">
        <v>138</v>
      </c>
      <c r="B132" s="4">
        <v>11263</v>
      </c>
      <c r="C132" s="1">
        <v>131</v>
      </c>
    </row>
    <row r="133" spans="1:3" x14ac:dyDescent="0.3">
      <c r="A133" s="3" t="s">
        <v>139</v>
      </c>
      <c r="B133" s="4">
        <v>11293</v>
      </c>
      <c r="C133" s="1">
        <v>132</v>
      </c>
    </row>
    <row r="134" spans="1:3" x14ac:dyDescent="0.3">
      <c r="A134" s="3" t="s">
        <v>140</v>
      </c>
      <c r="B134" s="4">
        <v>11324</v>
      </c>
      <c r="C134" s="1">
        <v>133</v>
      </c>
    </row>
    <row r="135" spans="1:3" x14ac:dyDescent="0.3">
      <c r="A135" s="3" t="s">
        <v>141</v>
      </c>
      <c r="B135" s="4">
        <v>11355</v>
      </c>
      <c r="C135" s="1">
        <v>134</v>
      </c>
    </row>
    <row r="136" spans="1:3" x14ac:dyDescent="0.3">
      <c r="A136" s="3" t="s">
        <v>142</v>
      </c>
      <c r="B136" s="4">
        <v>11383</v>
      </c>
      <c r="C136" s="1">
        <v>135</v>
      </c>
    </row>
    <row r="137" spans="1:3" x14ac:dyDescent="0.3">
      <c r="A137" s="3" t="s">
        <v>143</v>
      </c>
      <c r="B137" s="4">
        <v>11414</v>
      </c>
      <c r="C137" s="1">
        <v>136</v>
      </c>
    </row>
    <row r="138" spans="1:3" x14ac:dyDescent="0.3">
      <c r="A138" s="3" t="s">
        <v>144</v>
      </c>
      <c r="B138" s="4">
        <v>11444</v>
      </c>
      <c r="C138" s="1">
        <v>137</v>
      </c>
    </row>
    <row r="139" spans="1:3" x14ac:dyDescent="0.3">
      <c r="A139" s="3" t="s">
        <v>145</v>
      </c>
      <c r="B139" s="4">
        <v>11475</v>
      </c>
      <c r="C139" s="1">
        <v>138</v>
      </c>
    </row>
    <row r="140" spans="1:3" x14ac:dyDescent="0.3">
      <c r="A140" s="3" t="s">
        <v>146</v>
      </c>
      <c r="B140" s="4">
        <v>11505</v>
      </c>
      <c r="C140" s="1">
        <v>139</v>
      </c>
    </row>
    <row r="141" spans="1:3" x14ac:dyDescent="0.3">
      <c r="A141" s="3" t="s">
        <v>147</v>
      </c>
      <c r="B141" s="4">
        <v>11536</v>
      </c>
      <c r="C141" s="1">
        <v>140</v>
      </c>
    </row>
    <row r="142" spans="1:3" x14ac:dyDescent="0.3">
      <c r="A142" s="3" t="s">
        <v>148</v>
      </c>
      <c r="B142" s="4">
        <v>11567</v>
      </c>
      <c r="C142" s="1">
        <v>141</v>
      </c>
    </row>
    <row r="143" spans="1:3" x14ac:dyDescent="0.3">
      <c r="A143" s="3" t="s">
        <v>149</v>
      </c>
      <c r="B143" s="4">
        <v>11597</v>
      </c>
      <c r="C143" s="1">
        <v>142</v>
      </c>
    </row>
    <row r="144" spans="1:3" x14ac:dyDescent="0.3">
      <c r="A144" s="3" t="s">
        <v>150</v>
      </c>
      <c r="B144" s="4">
        <v>11628</v>
      </c>
      <c r="C144" s="1">
        <v>143</v>
      </c>
    </row>
    <row r="145" spans="1:3" x14ac:dyDescent="0.3">
      <c r="A145" s="3" t="s">
        <v>151</v>
      </c>
      <c r="B145" s="4">
        <v>11658</v>
      </c>
      <c r="C145" s="1">
        <v>144</v>
      </c>
    </row>
    <row r="146" spans="1:3" x14ac:dyDescent="0.3">
      <c r="A146" s="3" t="s">
        <v>152</v>
      </c>
      <c r="B146" s="4">
        <v>11689</v>
      </c>
      <c r="C146" s="1">
        <v>145</v>
      </c>
    </row>
    <row r="147" spans="1:3" x14ac:dyDescent="0.3">
      <c r="A147" s="3" t="s">
        <v>153</v>
      </c>
      <c r="B147" s="4">
        <v>11720</v>
      </c>
      <c r="C147" s="1">
        <v>146</v>
      </c>
    </row>
    <row r="148" spans="1:3" x14ac:dyDescent="0.3">
      <c r="A148" s="3" t="s">
        <v>154</v>
      </c>
      <c r="B148" s="4">
        <v>11749</v>
      </c>
      <c r="C148" s="1">
        <v>147</v>
      </c>
    </row>
    <row r="149" spans="1:3" x14ac:dyDescent="0.3">
      <c r="A149" s="3" t="s">
        <v>155</v>
      </c>
      <c r="B149" s="4">
        <v>11780</v>
      </c>
      <c r="C149" s="1">
        <v>148</v>
      </c>
    </row>
    <row r="150" spans="1:3" x14ac:dyDescent="0.3">
      <c r="A150" s="3" t="s">
        <v>156</v>
      </c>
      <c r="B150" s="4">
        <v>11810</v>
      </c>
      <c r="C150" s="1">
        <v>149</v>
      </c>
    </row>
    <row r="151" spans="1:3" x14ac:dyDescent="0.3">
      <c r="A151" s="3" t="s">
        <v>157</v>
      </c>
      <c r="B151" s="4">
        <v>11841</v>
      </c>
      <c r="C151" s="1">
        <v>150</v>
      </c>
    </row>
    <row r="152" spans="1:3" x14ac:dyDescent="0.3">
      <c r="A152" s="3" t="s">
        <v>158</v>
      </c>
      <c r="B152" s="4">
        <v>11871</v>
      </c>
      <c r="C152" s="1">
        <v>151</v>
      </c>
    </row>
    <row r="153" spans="1:3" x14ac:dyDescent="0.3">
      <c r="A153" s="3" t="s">
        <v>159</v>
      </c>
      <c r="B153" s="4">
        <v>11902</v>
      </c>
      <c r="C153" s="1">
        <v>152</v>
      </c>
    </row>
    <row r="154" spans="1:3" x14ac:dyDescent="0.3">
      <c r="A154" s="3" t="s">
        <v>160</v>
      </c>
      <c r="B154" s="4">
        <v>11933</v>
      </c>
      <c r="C154" s="1">
        <v>153</v>
      </c>
    </row>
    <row r="155" spans="1:3" x14ac:dyDescent="0.3">
      <c r="A155" s="3" t="s">
        <v>161</v>
      </c>
      <c r="B155" s="4">
        <v>11963</v>
      </c>
      <c r="C155" s="1">
        <v>154</v>
      </c>
    </row>
    <row r="156" spans="1:3" x14ac:dyDescent="0.3">
      <c r="A156" s="3" t="s">
        <v>162</v>
      </c>
      <c r="B156" s="4">
        <v>11994</v>
      </c>
      <c r="C156" s="1">
        <v>155</v>
      </c>
    </row>
    <row r="157" spans="1:3" x14ac:dyDescent="0.3">
      <c r="A157" s="3" t="s">
        <v>163</v>
      </c>
      <c r="B157" s="4">
        <v>12024</v>
      </c>
      <c r="C157" s="1">
        <v>156</v>
      </c>
    </row>
    <row r="158" spans="1:3" x14ac:dyDescent="0.3">
      <c r="A158" s="3" t="s">
        <v>164</v>
      </c>
      <c r="B158" s="4">
        <v>12055</v>
      </c>
      <c r="C158" s="1">
        <v>157</v>
      </c>
    </row>
    <row r="159" spans="1:3" x14ac:dyDescent="0.3">
      <c r="A159" s="3" t="s">
        <v>165</v>
      </c>
      <c r="B159" s="4">
        <v>12086</v>
      </c>
      <c r="C159" s="1">
        <v>158</v>
      </c>
    </row>
    <row r="160" spans="1:3" x14ac:dyDescent="0.3">
      <c r="A160" s="3" t="s">
        <v>166</v>
      </c>
      <c r="B160" s="4">
        <v>12114</v>
      </c>
      <c r="C160" s="1">
        <v>159</v>
      </c>
    </row>
    <row r="161" spans="1:3" x14ac:dyDescent="0.3">
      <c r="A161" s="3" t="s">
        <v>167</v>
      </c>
      <c r="B161" s="4">
        <v>12145</v>
      </c>
      <c r="C161" s="1">
        <v>160</v>
      </c>
    </row>
    <row r="162" spans="1:3" x14ac:dyDescent="0.3">
      <c r="A162" s="3" t="s">
        <v>168</v>
      </c>
      <c r="B162" s="4">
        <v>12175</v>
      </c>
      <c r="C162" s="1">
        <v>161</v>
      </c>
    </row>
    <row r="163" spans="1:3" x14ac:dyDescent="0.3">
      <c r="A163" s="3" t="s">
        <v>169</v>
      </c>
      <c r="B163" s="4">
        <v>12206</v>
      </c>
      <c r="C163" s="1">
        <v>162</v>
      </c>
    </row>
    <row r="164" spans="1:3" x14ac:dyDescent="0.3">
      <c r="A164" s="3" t="s">
        <v>170</v>
      </c>
      <c r="B164" s="4">
        <v>12236</v>
      </c>
      <c r="C164" s="1">
        <v>163</v>
      </c>
    </row>
    <row r="165" spans="1:3" x14ac:dyDescent="0.3">
      <c r="A165" s="3" t="s">
        <v>171</v>
      </c>
      <c r="B165" s="4">
        <v>12267</v>
      </c>
      <c r="C165" s="1">
        <v>164</v>
      </c>
    </row>
    <row r="166" spans="1:3" x14ac:dyDescent="0.3">
      <c r="A166" s="3" t="s">
        <v>172</v>
      </c>
      <c r="B166" s="4">
        <v>12298</v>
      </c>
      <c r="C166" s="1">
        <v>165</v>
      </c>
    </row>
    <row r="167" spans="1:3" x14ac:dyDescent="0.3">
      <c r="A167" s="3" t="s">
        <v>173</v>
      </c>
      <c r="B167" s="4">
        <v>12328</v>
      </c>
      <c r="C167" s="1">
        <v>166</v>
      </c>
    </row>
    <row r="168" spans="1:3" x14ac:dyDescent="0.3">
      <c r="A168" s="3" t="s">
        <v>174</v>
      </c>
      <c r="B168" s="4">
        <v>12359</v>
      </c>
      <c r="C168" s="1">
        <v>167</v>
      </c>
    </row>
    <row r="169" spans="1:3" x14ac:dyDescent="0.3">
      <c r="A169" s="3" t="s">
        <v>175</v>
      </c>
      <c r="B169" s="4">
        <v>12389</v>
      </c>
      <c r="C169" s="1">
        <v>168</v>
      </c>
    </row>
    <row r="170" spans="1:3" x14ac:dyDescent="0.3">
      <c r="A170" s="3" t="s">
        <v>176</v>
      </c>
      <c r="B170" s="4">
        <v>12420</v>
      </c>
      <c r="C170" s="1">
        <v>169</v>
      </c>
    </row>
    <row r="171" spans="1:3" x14ac:dyDescent="0.3">
      <c r="A171" s="3" t="s">
        <v>177</v>
      </c>
      <c r="B171" s="4">
        <v>12451</v>
      </c>
      <c r="C171" s="1">
        <v>170</v>
      </c>
    </row>
    <row r="172" spans="1:3" x14ac:dyDescent="0.3">
      <c r="A172" s="3" t="s">
        <v>178</v>
      </c>
      <c r="B172" s="4">
        <v>12479</v>
      </c>
      <c r="C172" s="1">
        <v>171</v>
      </c>
    </row>
    <row r="173" spans="1:3" x14ac:dyDescent="0.3">
      <c r="A173" s="3" t="s">
        <v>179</v>
      </c>
      <c r="B173" s="4">
        <v>12510</v>
      </c>
      <c r="C173" s="1">
        <v>172</v>
      </c>
    </row>
    <row r="174" spans="1:3" x14ac:dyDescent="0.3">
      <c r="A174" s="3" t="s">
        <v>180</v>
      </c>
      <c r="B174" s="4">
        <v>12540</v>
      </c>
      <c r="C174" s="1">
        <v>173</v>
      </c>
    </row>
    <row r="175" spans="1:3" x14ac:dyDescent="0.3">
      <c r="A175" s="3" t="s">
        <v>181</v>
      </c>
      <c r="B175" s="4">
        <v>12571</v>
      </c>
      <c r="C175" s="1">
        <v>174</v>
      </c>
    </row>
    <row r="176" spans="1:3" x14ac:dyDescent="0.3">
      <c r="A176" s="3" t="s">
        <v>182</v>
      </c>
      <c r="B176" s="4">
        <v>12601</v>
      </c>
      <c r="C176" s="1">
        <v>175</v>
      </c>
    </row>
    <row r="177" spans="1:3" x14ac:dyDescent="0.3">
      <c r="A177" s="3" t="s">
        <v>183</v>
      </c>
      <c r="B177" s="4">
        <v>12632</v>
      </c>
      <c r="C177" s="1">
        <v>176</v>
      </c>
    </row>
    <row r="178" spans="1:3" x14ac:dyDescent="0.3">
      <c r="A178" s="3" t="s">
        <v>184</v>
      </c>
      <c r="B178" s="4">
        <v>12663</v>
      </c>
      <c r="C178" s="1">
        <v>177</v>
      </c>
    </row>
    <row r="179" spans="1:3" x14ac:dyDescent="0.3">
      <c r="A179" s="3" t="s">
        <v>185</v>
      </c>
      <c r="B179" s="4">
        <v>12693</v>
      </c>
      <c r="C179" s="1">
        <v>178</v>
      </c>
    </row>
    <row r="180" spans="1:3" x14ac:dyDescent="0.3">
      <c r="A180" s="3" t="s">
        <v>186</v>
      </c>
      <c r="B180" s="4">
        <v>12724</v>
      </c>
      <c r="C180" s="1">
        <v>179</v>
      </c>
    </row>
    <row r="181" spans="1:3" x14ac:dyDescent="0.3">
      <c r="A181" s="3" t="s">
        <v>187</v>
      </c>
      <c r="B181" s="4">
        <v>12754</v>
      </c>
      <c r="C181" s="1">
        <v>180</v>
      </c>
    </row>
    <row r="182" spans="1:3" x14ac:dyDescent="0.3">
      <c r="A182" s="3" t="s">
        <v>188</v>
      </c>
      <c r="B182" s="4">
        <v>12785</v>
      </c>
      <c r="C182" s="1">
        <v>181</v>
      </c>
    </row>
    <row r="183" spans="1:3" x14ac:dyDescent="0.3">
      <c r="A183" s="3" t="s">
        <v>189</v>
      </c>
      <c r="B183" s="4">
        <v>12816</v>
      </c>
      <c r="C183" s="1">
        <v>182</v>
      </c>
    </row>
    <row r="184" spans="1:3" x14ac:dyDescent="0.3">
      <c r="A184" s="3" t="s">
        <v>190</v>
      </c>
      <c r="B184" s="4">
        <v>12844</v>
      </c>
      <c r="C184" s="1">
        <v>183</v>
      </c>
    </row>
    <row r="185" spans="1:3" x14ac:dyDescent="0.3">
      <c r="A185" s="3" t="s">
        <v>191</v>
      </c>
      <c r="B185" s="4">
        <v>12875</v>
      </c>
      <c r="C185" s="1">
        <v>184</v>
      </c>
    </row>
    <row r="186" spans="1:3" x14ac:dyDescent="0.3">
      <c r="A186" s="3" t="s">
        <v>192</v>
      </c>
      <c r="B186" s="4">
        <v>12905</v>
      </c>
      <c r="C186" s="1">
        <v>185</v>
      </c>
    </row>
    <row r="187" spans="1:3" x14ac:dyDescent="0.3">
      <c r="A187" s="3" t="s">
        <v>193</v>
      </c>
      <c r="B187" s="4">
        <v>12936</v>
      </c>
      <c r="C187" s="1">
        <v>186</v>
      </c>
    </row>
    <row r="188" spans="1:3" x14ac:dyDescent="0.3">
      <c r="A188" s="3" t="s">
        <v>194</v>
      </c>
      <c r="B188" s="4">
        <v>12966</v>
      </c>
      <c r="C188" s="1">
        <v>187</v>
      </c>
    </row>
    <row r="189" spans="1:3" x14ac:dyDescent="0.3">
      <c r="A189" s="3" t="s">
        <v>195</v>
      </c>
      <c r="B189" s="4">
        <v>12997</v>
      </c>
      <c r="C189" s="1">
        <v>188</v>
      </c>
    </row>
    <row r="190" spans="1:3" x14ac:dyDescent="0.3">
      <c r="A190" s="3" t="s">
        <v>196</v>
      </c>
      <c r="B190" s="4">
        <v>13028</v>
      </c>
      <c r="C190" s="1">
        <v>189</v>
      </c>
    </row>
    <row r="191" spans="1:3" x14ac:dyDescent="0.3">
      <c r="A191" s="3" t="s">
        <v>197</v>
      </c>
      <c r="B191" s="4">
        <v>13058</v>
      </c>
      <c r="C191" s="1">
        <v>190</v>
      </c>
    </row>
    <row r="192" spans="1:3" x14ac:dyDescent="0.3">
      <c r="A192" s="3" t="s">
        <v>198</v>
      </c>
      <c r="B192" s="4">
        <v>13089</v>
      </c>
      <c r="C192" s="1">
        <v>191</v>
      </c>
    </row>
    <row r="193" spans="1:3" x14ac:dyDescent="0.3">
      <c r="A193" s="3" t="s">
        <v>199</v>
      </c>
      <c r="B193" s="4">
        <v>13119</v>
      </c>
      <c r="C193" s="1">
        <v>192</v>
      </c>
    </row>
    <row r="194" spans="1:3" x14ac:dyDescent="0.3">
      <c r="A194" s="3" t="s">
        <v>200</v>
      </c>
      <c r="B194" s="4">
        <v>13150</v>
      </c>
      <c r="C194" s="1">
        <v>193</v>
      </c>
    </row>
    <row r="195" spans="1:3" x14ac:dyDescent="0.3">
      <c r="A195" s="3" t="s">
        <v>201</v>
      </c>
      <c r="B195" s="4">
        <v>13181</v>
      </c>
      <c r="C195" s="1">
        <v>194</v>
      </c>
    </row>
    <row r="196" spans="1:3" x14ac:dyDescent="0.3">
      <c r="A196" s="3" t="s">
        <v>202</v>
      </c>
      <c r="B196" s="4">
        <v>13210</v>
      </c>
      <c r="C196" s="1">
        <v>195</v>
      </c>
    </row>
    <row r="197" spans="1:3" x14ac:dyDescent="0.3">
      <c r="A197" s="3" t="s">
        <v>203</v>
      </c>
      <c r="B197" s="4">
        <v>13241</v>
      </c>
      <c r="C197" s="1">
        <v>196</v>
      </c>
    </row>
    <row r="198" spans="1:3" x14ac:dyDescent="0.3">
      <c r="A198" s="3" t="s">
        <v>204</v>
      </c>
      <c r="B198" s="4">
        <v>13271</v>
      </c>
      <c r="C198" s="1">
        <v>197</v>
      </c>
    </row>
    <row r="199" spans="1:3" x14ac:dyDescent="0.3">
      <c r="A199" s="3" t="s">
        <v>205</v>
      </c>
      <c r="B199" s="4">
        <v>13302</v>
      </c>
      <c r="C199" s="1">
        <v>198</v>
      </c>
    </row>
    <row r="200" spans="1:3" x14ac:dyDescent="0.3">
      <c r="A200" s="3" t="s">
        <v>206</v>
      </c>
      <c r="B200" s="4">
        <v>13332</v>
      </c>
      <c r="C200" s="1">
        <v>199</v>
      </c>
    </row>
    <row r="201" spans="1:3" x14ac:dyDescent="0.3">
      <c r="A201" s="3" t="s">
        <v>207</v>
      </c>
      <c r="B201" s="4">
        <v>13363</v>
      </c>
      <c r="C201" s="1">
        <v>200</v>
      </c>
    </row>
    <row r="202" spans="1:3" x14ac:dyDescent="0.3">
      <c r="A202" s="3" t="s">
        <v>208</v>
      </c>
      <c r="B202" s="4">
        <v>13394</v>
      </c>
      <c r="C202" s="1">
        <v>201</v>
      </c>
    </row>
    <row r="203" spans="1:3" x14ac:dyDescent="0.3">
      <c r="A203" s="3" t="s">
        <v>209</v>
      </c>
      <c r="B203" s="4">
        <v>13424</v>
      </c>
      <c r="C203" s="1">
        <v>202</v>
      </c>
    </row>
    <row r="204" spans="1:3" x14ac:dyDescent="0.3">
      <c r="A204" s="3" t="s">
        <v>210</v>
      </c>
      <c r="B204" s="4">
        <v>13455</v>
      </c>
      <c r="C204" s="1">
        <v>203</v>
      </c>
    </row>
    <row r="205" spans="1:3" x14ac:dyDescent="0.3">
      <c r="A205" s="3" t="s">
        <v>211</v>
      </c>
      <c r="B205" s="4">
        <v>13485</v>
      </c>
      <c r="C205" s="1">
        <v>204</v>
      </c>
    </row>
    <row r="206" spans="1:3" x14ac:dyDescent="0.3">
      <c r="A206" s="3" t="s">
        <v>212</v>
      </c>
      <c r="B206" s="4">
        <v>13516</v>
      </c>
      <c r="C206" s="1">
        <v>205</v>
      </c>
    </row>
    <row r="207" spans="1:3" x14ac:dyDescent="0.3">
      <c r="A207" s="3" t="s">
        <v>213</v>
      </c>
      <c r="B207" s="4">
        <v>13547</v>
      </c>
      <c r="C207" s="1">
        <v>206</v>
      </c>
    </row>
    <row r="208" spans="1:3" x14ac:dyDescent="0.3">
      <c r="A208" s="3" t="s">
        <v>214</v>
      </c>
      <c r="B208" s="4">
        <v>13575</v>
      </c>
      <c r="C208" s="1">
        <v>207</v>
      </c>
    </row>
    <row r="209" spans="1:3" x14ac:dyDescent="0.3">
      <c r="A209" s="3" t="s">
        <v>215</v>
      </c>
      <c r="B209" s="4">
        <v>13606</v>
      </c>
      <c r="C209" s="1">
        <v>208</v>
      </c>
    </row>
    <row r="210" spans="1:3" x14ac:dyDescent="0.3">
      <c r="A210" s="3" t="s">
        <v>216</v>
      </c>
      <c r="B210" s="4">
        <v>13636</v>
      </c>
      <c r="C210" s="1">
        <v>209</v>
      </c>
    </row>
    <row r="211" spans="1:3" x14ac:dyDescent="0.3">
      <c r="A211" s="3" t="s">
        <v>217</v>
      </c>
      <c r="B211" s="4">
        <v>13667</v>
      </c>
      <c r="C211" s="1">
        <v>210</v>
      </c>
    </row>
    <row r="212" spans="1:3" x14ac:dyDescent="0.3">
      <c r="A212" s="3" t="s">
        <v>218</v>
      </c>
      <c r="B212" s="4">
        <v>13697</v>
      </c>
      <c r="C212" s="1">
        <v>211</v>
      </c>
    </row>
    <row r="213" spans="1:3" x14ac:dyDescent="0.3">
      <c r="A213" s="3" t="s">
        <v>219</v>
      </c>
      <c r="B213" s="4">
        <v>13728</v>
      </c>
      <c r="C213" s="1">
        <v>212</v>
      </c>
    </row>
    <row r="214" spans="1:3" x14ac:dyDescent="0.3">
      <c r="A214" s="3" t="s">
        <v>220</v>
      </c>
      <c r="B214" s="4">
        <v>13759</v>
      </c>
      <c r="C214" s="1">
        <v>213</v>
      </c>
    </row>
    <row r="215" spans="1:3" x14ac:dyDescent="0.3">
      <c r="A215" s="3" t="s">
        <v>221</v>
      </c>
      <c r="B215" s="4">
        <v>13789</v>
      </c>
      <c r="C215" s="1">
        <v>214</v>
      </c>
    </row>
    <row r="216" spans="1:3" x14ac:dyDescent="0.3">
      <c r="A216" s="3" t="s">
        <v>222</v>
      </c>
      <c r="B216" s="4">
        <v>13820</v>
      </c>
      <c r="C216" s="1">
        <v>215</v>
      </c>
    </row>
    <row r="217" spans="1:3" x14ac:dyDescent="0.3">
      <c r="A217" s="3" t="s">
        <v>223</v>
      </c>
      <c r="B217" s="4">
        <v>13850</v>
      </c>
      <c r="C217" s="1">
        <v>216</v>
      </c>
    </row>
    <row r="218" spans="1:3" x14ac:dyDescent="0.3">
      <c r="A218" s="3" t="s">
        <v>224</v>
      </c>
      <c r="B218" s="4">
        <v>13881</v>
      </c>
      <c r="C218" s="1">
        <v>217</v>
      </c>
    </row>
    <row r="219" spans="1:3" x14ac:dyDescent="0.3">
      <c r="A219" s="3" t="s">
        <v>225</v>
      </c>
      <c r="B219" s="4">
        <v>13912</v>
      </c>
      <c r="C219" s="1">
        <v>218</v>
      </c>
    </row>
    <row r="220" spans="1:3" x14ac:dyDescent="0.3">
      <c r="A220" s="3" t="s">
        <v>226</v>
      </c>
      <c r="B220" s="4">
        <v>13940</v>
      </c>
      <c r="C220" s="1">
        <v>219</v>
      </c>
    </row>
    <row r="221" spans="1:3" x14ac:dyDescent="0.3">
      <c r="A221" s="3" t="s">
        <v>227</v>
      </c>
      <c r="B221" s="4">
        <v>13971</v>
      </c>
      <c r="C221" s="1">
        <v>220</v>
      </c>
    </row>
    <row r="222" spans="1:3" x14ac:dyDescent="0.3">
      <c r="A222" s="3" t="s">
        <v>228</v>
      </c>
      <c r="B222" s="4">
        <v>14001</v>
      </c>
      <c r="C222" s="1">
        <v>221</v>
      </c>
    </row>
    <row r="223" spans="1:3" x14ac:dyDescent="0.3">
      <c r="A223" s="3" t="s">
        <v>229</v>
      </c>
      <c r="B223" s="4">
        <v>14032</v>
      </c>
      <c r="C223" s="1">
        <v>222</v>
      </c>
    </row>
    <row r="224" spans="1:3" x14ac:dyDescent="0.3">
      <c r="A224" s="3" t="s">
        <v>230</v>
      </c>
      <c r="B224" s="4">
        <v>14062</v>
      </c>
      <c r="C224" s="1">
        <v>223</v>
      </c>
    </row>
    <row r="225" spans="1:3" x14ac:dyDescent="0.3">
      <c r="A225" s="3" t="s">
        <v>231</v>
      </c>
      <c r="B225" s="4">
        <v>14093</v>
      </c>
      <c r="C225" s="1">
        <v>224</v>
      </c>
    </row>
    <row r="226" spans="1:3" x14ac:dyDescent="0.3">
      <c r="A226" s="3" t="s">
        <v>232</v>
      </c>
      <c r="B226" s="4">
        <v>14124</v>
      </c>
      <c r="C226" s="1">
        <v>225</v>
      </c>
    </row>
    <row r="227" spans="1:3" x14ac:dyDescent="0.3">
      <c r="A227" s="3" t="s">
        <v>233</v>
      </c>
      <c r="B227" s="4">
        <v>14154</v>
      </c>
      <c r="C227" s="1">
        <v>226</v>
      </c>
    </row>
    <row r="228" spans="1:3" x14ac:dyDescent="0.3">
      <c r="A228" s="3" t="s">
        <v>234</v>
      </c>
      <c r="B228" s="4">
        <v>14185</v>
      </c>
      <c r="C228" s="1">
        <v>227</v>
      </c>
    </row>
    <row r="229" spans="1:3" x14ac:dyDescent="0.3">
      <c r="A229" s="3" t="s">
        <v>235</v>
      </c>
      <c r="B229" s="4">
        <v>14215</v>
      </c>
      <c r="C229" s="1">
        <v>228</v>
      </c>
    </row>
    <row r="230" spans="1:3" x14ac:dyDescent="0.3">
      <c r="A230" s="3" t="s">
        <v>236</v>
      </c>
      <c r="B230" s="4">
        <v>14246</v>
      </c>
      <c r="C230" s="1">
        <v>229</v>
      </c>
    </row>
    <row r="231" spans="1:3" x14ac:dyDescent="0.3">
      <c r="A231" s="3" t="s">
        <v>237</v>
      </c>
      <c r="B231" s="4">
        <v>14277</v>
      </c>
      <c r="C231" s="1">
        <v>230</v>
      </c>
    </row>
    <row r="232" spans="1:3" x14ac:dyDescent="0.3">
      <c r="A232" s="3" t="s">
        <v>238</v>
      </c>
      <c r="B232" s="4">
        <v>14305</v>
      </c>
      <c r="C232" s="1">
        <v>231</v>
      </c>
    </row>
    <row r="233" spans="1:3" x14ac:dyDescent="0.3">
      <c r="A233" s="3" t="s">
        <v>239</v>
      </c>
      <c r="B233" s="4">
        <v>14336</v>
      </c>
      <c r="C233" s="1">
        <v>232</v>
      </c>
    </row>
    <row r="234" spans="1:3" x14ac:dyDescent="0.3">
      <c r="A234" s="3" t="s">
        <v>240</v>
      </c>
      <c r="B234" s="4">
        <v>14366</v>
      </c>
      <c r="C234" s="1">
        <v>233</v>
      </c>
    </row>
    <row r="235" spans="1:3" x14ac:dyDescent="0.3">
      <c r="A235" s="3" t="s">
        <v>241</v>
      </c>
      <c r="B235" s="4">
        <v>14397</v>
      </c>
      <c r="C235" s="1">
        <v>234</v>
      </c>
    </row>
    <row r="236" spans="1:3" x14ac:dyDescent="0.3">
      <c r="A236" s="3" t="s">
        <v>242</v>
      </c>
      <c r="B236" s="4">
        <v>14427</v>
      </c>
      <c r="C236" s="1">
        <v>235</v>
      </c>
    </row>
    <row r="237" spans="1:3" x14ac:dyDescent="0.3">
      <c r="A237" s="3" t="s">
        <v>243</v>
      </c>
      <c r="B237" s="4">
        <v>14458</v>
      </c>
      <c r="C237" s="1">
        <v>236</v>
      </c>
    </row>
    <row r="238" spans="1:3" x14ac:dyDescent="0.3">
      <c r="A238" s="3" t="s">
        <v>244</v>
      </c>
      <c r="B238" s="4">
        <v>14489</v>
      </c>
      <c r="C238" s="1">
        <v>237</v>
      </c>
    </row>
    <row r="239" spans="1:3" x14ac:dyDescent="0.3">
      <c r="A239" s="3" t="s">
        <v>245</v>
      </c>
      <c r="B239" s="4">
        <v>14519</v>
      </c>
      <c r="C239" s="1">
        <v>238</v>
      </c>
    </row>
    <row r="240" spans="1:3" x14ac:dyDescent="0.3">
      <c r="A240" s="3" t="s">
        <v>246</v>
      </c>
      <c r="B240" s="4">
        <v>14550</v>
      </c>
      <c r="C240" s="1">
        <v>239</v>
      </c>
    </row>
    <row r="241" spans="1:3" x14ac:dyDescent="0.3">
      <c r="A241" s="3" t="s">
        <v>247</v>
      </c>
      <c r="B241" s="4">
        <v>14580</v>
      </c>
      <c r="C241" s="1">
        <v>240</v>
      </c>
    </row>
  </sheetData>
  <sortState xmlns:xlrd2="http://schemas.microsoft.com/office/spreadsheetml/2017/richdata2" ref="A2:H241">
    <sortCondition ref="D2:D241"/>
  </sortState>
  <mergeCells count="2">
    <mergeCell ref="P1:T5"/>
    <mergeCell ref="J1:N4"/>
  </mergeCells>
  <phoneticPr fontId="20" type="noConversion"/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0.59999389629810485"/>
  </sheetPr>
  <dimension ref="A1:W142"/>
  <sheetViews>
    <sheetView topLeftCell="B1" workbookViewId="0">
      <selection activeCell="H2" sqref="H2"/>
    </sheetView>
  </sheetViews>
  <sheetFormatPr defaultRowHeight="15.6" x14ac:dyDescent="0.3"/>
  <cols>
    <col min="1" max="1" width="12" style="3" customWidth="1"/>
    <col min="2" max="2" width="22.88671875" customWidth="1"/>
    <col min="3" max="3" width="20.109375" style="1" customWidth="1"/>
    <col min="4" max="4" width="25.88671875" style="1" bestFit="1" customWidth="1"/>
    <col min="5" max="5" width="10.88671875" customWidth="1"/>
    <col min="6" max="6" width="17" customWidth="1"/>
    <col min="7" max="7" width="23.44140625" customWidth="1"/>
    <col min="8" max="8" width="32.33203125" bestFit="1" customWidth="1"/>
    <col min="9" max="9" width="10.44140625" customWidth="1"/>
  </cols>
  <sheetData>
    <row r="1" spans="1:23" ht="15.6" customHeight="1" x14ac:dyDescent="0.3">
      <c r="A1" s="3" t="s">
        <v>0</v>
      </c>
      <c r="B1" t="s">
        <v>1</v>
      </c>
      <c r="C1" s="1" t="s">
        <v>2</v>
      </c>
      <c r="D1" s="5" t="s">
        <v>248</v>
      </c>
      <c r="E1" s="6" t="s">
        <v>4</v>
      </c>
      <c r="F1" s="6" t="s">
        <v>5</v>
      </c>
      <c r="G1" s="6" t="s">
        <v>6</v>
      </c>
      <c r="H1" s="6" t="s">
        <v>7</v>
      </c>
      <c r="J1" s="8"/>
      <c r="K1" s="8"/>
      <c r="L1" s="8"/>
      <c r="M1" s="8"/>
      <c r="N1" s="8"/>
      <c r="S1" s="8"/>
      <c r="T1" s="8"/>
      <c r="U1" s="8"/>
      <c r="V1" s="8"/>
      <c r="W1" s="8"/>
    </row>
    <row r="2" spans="1:23" ht="15.6" customHeight="1" x14ac:dyDescent="0.3">
      <c r="A2" s="3" t="s">
        <v>8</v>
      </c>
      <c r="B2" s="4">
        <v>7306</v>
      </c>
      <c r="C2" s="1">
        <v>1</v>
      </c>
      <c r="D2" s="1">
        <v>47.3</v>
      </c>
      <c r="E2" s="7">
        <f>AVERAGE(D2:D100)</f>
        <v>49.215151515151526</v>
      </c>
      <c r="F2" s="2">
        <f>+MEDIAN(D2:D100)</f>
        <v>47.3</v>
      </c>
      <c r="G2" s="2">
        <f>MODE(D2:D100)</f>
        <v>50.9</v>
      </c>
      <c r="H2" s="7">
        <f>STDEV(D2:D100)</f>
        <v>9.1089030639165731</v>
      </c>
      <c r="J2" s="8"/>
      <c r="K2" s="8"/>
      <c r="L2" s="8"/>
      <c r="M2" s="8"/>
      <c r="N2" s="8"/>
      <c r="S2" s="8"/>
      <c r="T2" s="8"/>
      <c r="U2" s="8"/>
      <c r="V2" s="8"/>
      <c r="W2" s="8"/>
    </row>
    <row r="3" spans="1:23" ht="15.6" customHeight="1" x14ac:dyDescent="0.3">
      <c r="A3" s="3" t="s">
        <v>9</v>
      </c>
      <c r="B3" s="4">
        <v>7337</v>
      </c>
      <c r="C3" s="1">
        <v>2</v>
      </c>
      <c r="D3" s="1">
        <v>50.9</v>
      </c>
      <c r="G3" s="2"/>
      <c r="J3" s="8"/>
      <c r="K3" s="8"/>
      <c r="L3" s="8"/>
      <c r="M3" s="8"/>
      <c r="N3" s="8"/>
      <c r="S3" s="8"/>
      <c r="T3" s="8"/>
      <c r="U3" s="8"/>
      <c r="V3" s="8"/>
      <c r="W3" s="8"/>
    </row>
    <row r="4" spans="1:23" ht="15.6" customHeight="1" x14ac:dyDescent="0.3">
      <c r="A4" s="3" t="s">
        <v>10</v>
      </c>
      <c r="B4" s="4">
        <v>7366</v>
      </c>
      <c r="C4" s="1">
        <v>3</v>
      </c>
      <c r="D4" s="1">
        <v>56.4</v>
      </c>
      <c r="G4" s="2"/>
      <c r="J4" s="8"/>
      <c r="K4" s="8"/>
      <c r="L4" s="8"/>
      <c r="M4" s="8"/>
      <c r="N4" s="8"/>
      <c r="S4" s="8"/>
      <c r="T4" s="8"/>
      <c r="U4" s="8"/>
      <c r="V4" s="8"/>
      <c r="W4" s="8"/>
    </row>
    <row r="5" spans="1:23" ht="15.6" customHeight="1" x14ac:dyDescent="0.3">
      <c r="A5" s="3" t="s">
        <v>11</v>
      </c>
      <c r="B5" s="4">
        <v>7397</v>
      </c>
      <c r="C5" s="1">
        <v>4</v>
      </c>
      <c r="D5" s="1">
        <v>62.2</v>
      </c>
      <c r="S5" s="8"/>
      <c r="T5" s="8"/>
      <c r="U5" s="8"/>
      <c r="V5" s="8"/>
      <c r="W5" s="8"/>
    </row>
    <row r="6" spans="1:23" x14ac:dyDescent="0.3">
      <c r="A6" s="3" t="s">
        <v>12</v>
      </c>
      <c r="B6" s="4">
        <v>7427</v>
      </c>
      <c r="C6" s="1">
        <v>5</v>
      </c>
      <c r="D6" s="1">
        <v>60.5</v>
      </c>
      <c r="F6" t="s">
        <v>250</v>
      </c>
    </row>
    <row r="7" spans="1:23" x14ac:dyDescent="0.3">
      <c r="A7" s="3" t="s">
        <v>17</v>
      </c>
      <c r="B7" s="4">
        <v>7580</v>
      </c>
      <c r="C7" s="1">
        <v>10</v>
      </c>
      <c r="D7" s="1">
        <v>55.4</v>
      </c>
    </row>
    <row r="8" spans="1:23" x14ac:dyDescent="0.3">
      <c r="A8" s="3" t="s">
        <v>18</v>
      </c>
      <c r="B8" s="4">
        <v>7611</v>
      </c>
      <c r="C8" s="1">
        <v>11</v>
      </c>
      <c r="D8" s="1">
        <v>50.2</v>
      </c>
    </row>
    <row r="9" spans="1:23" x14ac:dyDescent="0.3">
      <c r="A9" s="3" t="s">
        <v>19</v>
      </c>
      <c r="B9" s="4">
        <v>7641</v>
      </c>
      <c r="C9" s="1">
        <v>12</v>
      </c>
      <c r="D9" s="1">
        <v>43</v>
      </c>
    </row>
    <row r="10" spans="1:23" x14ac:dyDescent="0.3">
      <c r="A10" s="3" t="s">
        <v>20</v>
      </c>
      <c r="B10" s="4">
        <v>7672</v>
      </c>
      <c r="C10" s="1">
        <v>13</v>
      </c>
      <c r="D10" s="1">
        <v>37.299999999999997</v>
      </c>
    </row>
    <row r="11" spans="1:23" x14ac:dyDescent="0.3">
      <c r="A11" s="3" t="s">
        <v>21</v>
      </c>
      <c r="B11" s="4">
        <v>7703</v>
      </c>
      <c r="C11" s="1">
        <v>14</v>
      </c>
      <c r="D11" s="1">
        <v>34.799999999999997</v>
      </c>
    </row>
    <row r="12" spans="1:23" x14ac:dyDescent="0.3">
      <c r="A12" s="3" t="s">
        <v>22</v>
      </c>
      <c r="B12" s="4">
        <v>7731</v>
      </c>
      <c r="C12" s="1">
        <v>15</v>
      </c>
      <c r="D12" s="1">
        <v>31.3</v>
      </c>
    </row>
    <row r="13" spans="1:23" x14ac:dyDescent="0.3">
      <c r="A13" s="3" t="s">
        <v>23</v>
      </c>
      <c r="B13" s="4">
        <v>7762</v>
      </c>
      <c r="C13" s="1">
        <v>16</v>
      </c>
      <c r="D13" s="1">
        <v>41</v>
      </c>
    </row>
    <row r="14" spans="1:23" x14ac:dyDescent="0.3">
      <c r="A14" s="3" t="s">
        <v>24</v>
      </c>
      <c r="B14" s="4">
        <v>7792</v>
      </c>
      <c r="C14" s="1">
        <v>17</v>
      </c>
      <c r="D14" s="1">
        <v>43.9</v>
      </c>
    </row>
    <row r="15" spans="1:23" x14ac:dyDescent="0.3">
      <c r="A15" s="3" t="s">
        <v>25</v>
      </c>
      <c r="B15" s="4">
        <v>7823</v>
      </c>
      <c r="C15" s="1">
        <v>18</v>
      </c>
      <c r="D15" s="1">
        <v>53.1</v>
      </c>
    </row>
    <row r="16" spans="1:23" x14ac:dyDescent="0.3">
      <c r="A16" s="3" t="s">
        <v>26</v>
      </c>
      <c r="B16" s="4">
        <v>7853</v>
      </c>
      <c r="C16" s="1">
        <v>19</v>
      </c>
      <c r="D16" s="1">
        <v>56.9</v>
      </c>
    </row>
    <row r="17" spans="1:4" x14ac:dyDescent="0.3">
      <c r="A17" s="3" t="s">
        <v>27</v>
      </c>
      <c r="B17" s="4">
        <v>7884</v>
      </c>
      <c r="C17" s="1">
        <v>20</v>
      </c>
      <c r="D17" s="1">
        <v>62.5</v>
      </c>
    </row>
    <row r="18" spans="1:4" x14ac:dyDescent="0.3">
      <c r="A18" s="3" t="s">
        <v>28</v>
      </c>
      <c r="B18" s="4">
        <v>7915</v>
      </c>
      <c r="C18" s="1">
        <v>21</v>
      </c>
      <c r="D18" s="1">
        <v>60.3</v>
      </c>
    </row>
    <row r="19" spans="1:4" x14ac:dyDescent="0.3">
      <c r="A19" s="3" t="s">
        <v>29</v>
      </c>
      <c r="B19" s="4">
        <v>7945</v>
      </c>
      <c r="C19" s="1">
        <v>22</v>
      </c>
      <c r="D19" s="1">
        <v>59.8</v>
      </c>
    </row>
    <row r="20" spans="1:4" x14ac:dyDescent="0.3">
      <c r="A20" s="3" t="s">
        <v>30</v>
      </c>
      <c r="B20" s="4">
        <v>7976</v>
      </c>
      <c r="C20" s="1">
        <v>23</v>
      </c>
      <c r="D20" s="1">
        <v>49.2</v>
      </c>
    </row>
    <row r="21" spans="1:4" x14ac:dyDescent="0.3">
      <c r="A21" s="3" t="s">
        <v>31</v>
      </c>
      <c r="B21" s="4">
        <v>8006</v>
      </c>
      <c r="C21" s="1">
        <v>24</v>
      </c>
      <c r="D21" s="1">
        <v>42.9</v>
      </c>
    </row>
    <row r="22" spans="1:4" x14ac:dyDescent="0.3">
      <c r="A22" s="3" t="s">
        <v>32</v>
      </c>
      <c r="B22" s="4">
        <v>8037</v>
      </c>
      <c r="C22" s="1">
        <v>25</v>
      </c>
      <c r="D22" s="1">
        <v>41.9</v>
      </c>
    </row>
    <row r="23" spans="1:4" x14ac:dyDescent="0.3">
      <c r="A23" s="3" t="s">
        <v>107</v>
      </c>
      <c r="B23" s="4">
        <v>10319</v>
      </c>
      <c r="C23" s="1">
        <v>100</v>
      </c>
      <c r="D23" s="1">
        <v>41.6</v>
      </c>
    </row>
    <row r="24" spans="1:4" x14ac:dyDescent="0.3">
      <c r="A24" s="3" t="s">
        <v>108</v>
      </c>
      <c r="B24" s="4">
        <v>10349</v>
      </c>
      <c r="C24" s="1">
        <v>101</v>
      </c>
      <c r="D24" s="1">
        <v>37.1</v>
      </c>
    </row>
    <row r="25" spans="1:4" x14ac:dyDescent="0.3">
      <c r="A25" s="3" t="s">
        <v>109</v>
      </c>
      <c r="B25" s="4">
        <v>10380</v>
      </c>
      <c r="C25" s="1">
        <v>102</v>
      </c>
      <c r="D25" s="1">
        <v>41.2</v>
      </c>
    </row>
    <row r="26" spans="1:4" x14ac:dyDescent="0.3">
      <c r="A26" s="3" t="s">
        <v>110</v>
      </c>
      <c r="B26" s="4">
        <v>10410</v>
      </c>
      <c r="C26" s="1">
        <v>103</v>
      </c>
      <c r="D26" s="1">
        <v>46.9</v>
      </c>
    </row>
    <row r="27" spans="1:4" x14ac:dyDescent="0.3">
      <c r="A27" s="3" t="s">
        <v>111</v>
      </c>
      <c r="B27" s="4">
        <v>10441</v>
      </c>
      <c r="C27" s="1">
        <v>104</v>
      </c>
      <c r="D27" s="1">
        <v>51.2</v>
      </c>
    </row>
    <row r="28" spans="1:4" x14ac:dyDescent="0.3">
      <c r="A28" s="3" t="s">
        <v>112</v>
      </c>
      <c r="B28" s="4">
        <v>10472</v>
      </c>
      <c r="C28" s="1">
        <v>105</v>
      </c>
      <c r="D28" s="1">
        <v>60.4</v>
      </c>
    </row>
    <row r="29" spans="1:4" x14ac:dyDescent="0.3">
      <c r="A29" s="3" t="s">
        <v>113</v>
      </c>
      <c r="B29" s="4">
        <v>10502</v>
      </c>
      <c r="C29" s="1">
        <v>106</v>
      </c>
      <c r="D29" s="1">
        <v>60.1</v>
      </c>
    </row>
    <row r="30" spans="1:4" x14ac:dyDescent="0.3">
      <c r="A30" s="3" t="s">
        <v>114</v>
      </c>
      <c r="B30" s="4">
        <v>10533</v>
      </c>
      <c r="C30" s="1">
        <v>107</v>
      </c>
      <c r="D30" s="1">
        <v>61.6</v>
      </c>
    </row>
    <row r="31" spans="1:4" x14ac:dyDescent="0.3">
      <c r="A31" s="3" t="s">
        <v>115</v>
      </c>
      <c r="B31" s="4">
        <v>10563</v>
      </c>
      <c r="C31" s="1">
        <v>108</v>
      </c>
      <c r="D31" s="1">
        <v>57</v>
      </c>
    </row>
    <row r="32" spans="1:4" x14ac:dyDescent="0.3">
      <c r="A32" s="3" t="s">
        <v>137</v>
      </c>
      <c r="B32" s="4">
        <v>11232</v>
      </c>
      <c r="C32" s="1">
        <v>130</v>
      </c>
      <c r="D32" s="1">
        <v>50.9</v>
      </c>
    </row>
    <row r="33" spans="1:4" x14ac:dyDescent="0.3">
      <c r="A33" s="3" t="s">
        <v>138</v>
      </c>
      <c r="B33" s="4">
        <v>11263</v>
      </c>
      <c r="C33" s="1">
        <v>131</v>
      </c>
      <c r="D33" s="1">
        <v>43</v>
      </c>
    </row>
    <row r="34" spans="1:4" x14ac:dyDescent="0.3">
      <c r="A34" s="3" t="s">
        <v>139</v>
      </c>
      <c r="B34" s="4">
        <v>11293</v>
      </c>
      <c r="C34" s="1">
        <v>132</v>
      </c>
      <c r="D34" s="1">
        <v>38.799999999999997</v>
      </c>
    </row>
    <row r="35" spans="1:4" x14ac:dyDescent="0.3">
      <c r="A35" s="3" t="s">
        <v>140</v>
      </c>
      <c r="B35" s="4">
        <v>11324</v>
      </c>
      <c r="C35" s="1">
        <v>133</v>
      </c>
      <c r="D35" s="1">
        <v>37.1</v>
      </c>
    </row>
    <row r="36" spans="1:4" x14ac:dyDescent="0.3">
      <c r="A36" s="3" t="s">
        <v>141</v>
      </c>
      <c r="B36" s="4">
        <v>11355</v>
      </c>
      <c r="C36" s="1">
        <v>134</v>
      </c>
      <c r="D36" s="1">
        <v>38.4</v>
      </c>
    </row>
    <row r="37" spans="1:4" x14ac:dyDescent="0.3">
      <c r="A37" s="3" t="s">
        <v>142</v>
      </c>
      <c r="B37" s="4">
        <v>11383</v>
      </c>
      <c r="C37" s="1">
        <v>135</v>
      </c>
      <c r="D37" s="1">
        <v>38.4</v>
      </c>
    </row>
    <row r="38" spans="1:4" x14ac:dyDescent="0.3">
      <c r="A38" s="3" t="s">
        <v>143</v>
      </c>
      <c r="B38" s="4">
        <v>11414</v>
      </c>
      <c r="C38" s="1">
        <v>136</v>
      </c>
      <c r="D38" s="1">
        <v>46.5</v>
      </c>
    </row>
    <row r="39" spans="1:4" x14ac:dyDescent="0.3">
      <c r="A39" s="3" t="s">
        <v>144</v>
      </c>
      <c r="B39" s="4">
        <v>11444</v>
      </c>
      <c r="C39" s="1">
        <v>137</v>
      </c>
      <c r="D39" s="1">
        <v>53.5</v>
      </c>
    </row>
    <row r="40" spans="1:4" x14ac:dyDescent="0.3">
      <c r="A40" s="3" t="s">
        <v>145</v>
      </c>
      <c r="B40" s="4">
        <v>11475</v>
      </c>
      <c r="C40" s="1">
        <v>138</v>
      </c>
      <c r="D40" s="1">
        <v>58.4</v>
      </c>
    </row>
    <row r="41" spans="1:4" x14ac:dyDescent="0.3">
      <c r="A41" s="3" t="s">
        <v>146</v>
      </c>
      <c r="B41" s="4">
        <v>11505</v>
      </c>
      <c r="C41" s="1">
        <v>139</v>
      </c>
      <c r="D41" s="1">
        <v>60.6</v>
      </c>
    </row>
    <row r="42" spans="1:4" x14ac:dyDescent="0.3">
      <c r="A42" s="3" t="s">
        <v>147</v>
      </c>
      <c r="B42" s="4">
        <v>11536</v>
      </c>
      <c r="C42" s="1">
        <v>140</v>
      </c>
      <c r="D42" s="1">
        <v>58.2</v>
      </c>
    </row>
    <row r="43" spans="1:4" x14ac:dyDescent="0.3">
      <c r="A43" s="3" t="s">
        <v>148</v>
      </c>
      <c r="B43" s="4">
        <v>11567</v>
      </c>
      <c r="C43" s="1">
        <v>141</v>
      </c>
      <c r="D43" s="1">
        <v>53.8</v>
      </c>
    </row>
    <row r="44" spans="1:4" x14ac:dyDescent="0.3">
      <c r="A44" s="3" t="s">
        <v>149</v>
      </c>
      <c r="B44" s="4">
        <v>11597</v>
      </c>
      <c r="C44" s="1">
        <v>142</v>
      </c>
      <c r="D44" s="1">
        <v>46.6</v>
      </c>
    </row>
    <row r="45" spans="1:4" x14ac:dyDescent="0.3">
      <c r="A45" s="3" t="s">
        <v>150</v>
      </c>
      <c r="B45" s="4">
        <v>11628</v>
      </c>
      <c r="C45" s="1">
        <v>143</v>
      </c>
      <c r="D45" s="1">
        <v>45.5</v>
      </c>
    </row>
    <row r="46" spans="1:4" x14ac:dyDescent="0.3">
      <c r="A46" s="3" t="s">
        <v>151</v>
      </c>
      <c r="B46" s="4">
        <v>11658</v>
      </c>
      <c r="C46" s="1">
        <v>144</v>
      </c>
      <c r="D46" s="1">
        <v>40.6</v>
      </c>
    </row>
    <row r="47" spans="1:4" x14ac:dyDescent="0.3">
      <c r="A47" s="3" t="s">
        <v>152</v>
      </c>
      <c r="B47" s="4">
        <v>11689</v>
      </c>
      <c r="C47" s="1">
        <v>145</v>
      </c>
      <c r="D47" s="1">
        <v>42.4</v>
      </c>
    </row>
    <row r="48" spans="1:4" x14ac:dyDescent="0.3">
      <c r="A48" s="3" t="s">
        <v>153</v>
      </c>
      <c r="B48" s="4">
        <v>11720</v>
      </c>
      <c r="C48" s="1">
        <v>146</v>
      </c>
      <c r="D48" s="1">
        <v>38.4</v>
      </c>
    </row>
    <row r="49" spans="1:4" x14ac:dyDescent="0.3">
      <c r="A49" s="3" t="s">
        <v>154</v>
      </c>
      <c r="B49" s="4">
        <v>11749</v>
      </c>
      <c r="C49" s="1">
        <v>147</v>
      </c>
      <c r="D49" s="1">
        <v>40.299999999999997</v>
      </c>
    </row>
    <row r="50" spans="1:4" x14ac:dyDescent="0.3">
      <c r="A50" s="3" t="s">
        <v>155</v>
      </c>
      <c r="B50" s="4">
        <v>11780</v>
      </c>
      <c r="C50" s="1">
        <v>148</v>
      </c>
      <c r="D50" s="1">
        <v>44.6</v>
      </c>
    </row>
    <row r="51" spans="1:4" x14ac:dyDescent="0.3">
      <c r="A51" s="3" t="s">
        <v>156</v>
      </c>
      <c r="B51" s="4">
        <v>11810</v>
      </c>
      <c r="C51" s="1">
        <v>149</v>
      </c>
      <c r="D51" s="1">
        <v>50.9</v>
      </c>
    </row>
    <row r="52" spans="1:4" x14ac:dyDescent="0.3">
      <c r="A52" s="3" t="s">
        <v>157</v>
      </c>
      <c r="B52" s="4">
        <v>11841</v>
      </c>
      <c r="C52" s="1">
        <v>150</v>
      </c>
      <c r="D52" s="1">
        <v>57</v>
      </c>
    </row>
    <row r="53" spans="1:4" x14ac:dyDescent="0.3">
      <c r="A53" s="3" t="s">
        <v>158</v>
      </c>
      <c r="B53" s="4">
        <v>11871</v>
      </c>
      <c r="C53" s="1">
        <v>151</v>
      </c>
      <c r="D53" s="1">
        <v>62.1</v>
      </c>
    </row>
    <row r="54" spans="1:4" x14ac:dyDescent="0.3">
      <c r="A54" s="3" t="s">
        <v>159</v>
      </c>
      <c r="B54" s="4">
        <v>11902</v>
      </c>
      <c r="C54" s="1">
        <v>152</v>
      </c>
      <c r="D54" s="1">
        <v>63.5</v>
      </c>
    </row>
    <row r="55" spans="1:4" x14ac:dyDescent="0.3">
      <c r="A55" s="3" t="s">
        <v>160</v>
      </c>
      <c r="B55" s="4">
        <v>11933</v>
      </c>
      <c r="C55" s="1">
        <v>153</v>
      </c>
      <c r="D55" s="1">
        <v>56.3</v>
      </c>
    </row>
    <row r="56" spans="1:4" x14ac:dyDescent="0.3">
      <c r="A56" s="3" t="s">
        <v>161</v>
      </c>
      <c r="B56" s="4">
        <v>11963</v>
      </c>
      <c r="C56" s="1">
        <v>154</v>
      </c>
      <c r="D56" s="1">
        <v>47.3</v>
      </c>
    </row>
    <row r="57" spans="1:4" x14ac:dyDescent="0.3">
      <c r="A57" s="3" t="s">
        <v>162</v>
      </c>
      <c r="B57" s="4">
        <v>11994</v>
      </c>
      <c r="C57" s="1">
        <v>155</v>
      </c>
      <c r="D57" s="1">
        <v>43.6</v>
      </c>
    </row>
    <row r="58" spans="1:4" x14ac:dyDescent="0.3">
      <c r="A58" s="3" t="s">
        <v>163</v>
      </c>
      <c r="B58" s="4">
        <v>12024</v>
      </c>
      <c r="C58" s="1">
        <v>156</v>
      </c>
      <c r="D58" s="1">
        <v>41.8</v>
      </c>
    </row>
    <row r="59" spans="1:4" x14ac:dyDescent="0.3">
      <c r="A59" s="3" t="s">
        <v>164</v>
      </c>
      <c r="B59" s="4">
        <v>12055</v>
      </c>
      <c r="C59" s="1">
        <v>157</v>
      </c>
      <c r="D59" s="1">
        <v>36.200000000000003</v>
      </c>
    </row>
    <row r="60" spans="1:4" x14ac:dyDescent="0.3">
      <c r="A60" s="3" t="s">
        <v>165</v>
      </c>
      <c r="B60" s="4">
        <v>12086</v>
      </c>
      <c r="C60" s="1">
        <v>158</v>
      </c>
      <c r="D60" s="1">
        <v>39.299999999999997</v>
      </c>
    </row>
    <row r="61" spans="1:4" x14ac:dyDescent="0.3">
      <c r="A61" s="3" t="s">
        <v>166</v>
      </c>
      <c r="B61" s="4">
        <v>12114</v>
      </c>
      <c r="C61" s="1">
        <v>159</v>
      </c>
      <c r="D61" s="1">
        <v>44.5</v>
      </c>
    </row>
    <row r="62" spans="1:4" x14ac:dyDescent="0.3">
      <c r="A62" s="3" t="s">
        <v>167</v>
      </c>
      <c r="B62" s="4">
        <v>12145</v>
      </c>
      <c r="C62" s="1">
        <v>160</v>
      </c>
      <c r="D62" s="1">
        <v>48.7</v>
      </c>
    </row>
    <row r="63" spans="1:4" x14ac:dyDescent="0.3">
      <c r="A63" s="3" t="s">
        <v>168</v>
      </c>
      <c r="B63" s="4">
        <v>12175</v>
      </c>
      <c r="C63" s="1">
        <v>161</v>
      </c>
      <c r="D63" s="1">
        <v>54.2</v>
      </c>
    </row>
    <row r="64" spans="1:4" x14ac:dyDescent="0.3">
      <c r="A64" s="3" t="s">
        <v>169</v>
      </c>
      <c r="B64" s="4">
        <v>12206</v>
      </c>
      <c r="C64" s="1">
        <v>162</v>
      </c>
      <c r="D64" s="1">
        <v>60.8</v>
      </c>
    </row>
    <row r="65" spans="1:4" x14ac:dyDescent="0.3">
      <c r="A65" s="3" t="s">
        <v>170</v>
      </c>
      <c r="B65" s="4">
        <v>12236</v>
      </c>
      <c r="C65" s="1">
        <v>163</v>
      </c>
      <c r="D65" s="1">
        <v>65.5</v>
      </c>
    </row>
    <row r="66" spans="1:4" x14ac:dyDescent="0.3">
      <c r="A66" s="3" t="s">
        <v>171</v>
      </c>
      <c r="B66" s="4">
        <v>12267</v>
      </c>
      <c r="C66" s="1">
        <v>164</v>
      </c>
      <c r="D66" s="1">
        <v>64.900000000000006</v>
      </c>
    </row>
    <row r="67" spans="1:4" x14ac:dyDescent="0.3">
      <c r="A67" s="3" t="s">
        <v>172</v>
      </c>
      <c r="B67" s="4">
        <v>12298</v>
      </c>
      <c r="C67" s="1">
        <v>165</v>
      </c>
      <c r="D67" s="1">
        <v>60.1</v>
      </c>
    </row>
    <row r="68" spans="1:4" x14ac:dyDescent="0.3">
      <c r="A68" s="3" t="s">
        <v>173</v>
      </c>
      <c r="B68" s="4">
        <v>12328</v>
      </c>
      <c r="C68" s="1">
        <v>166</v>
      </c>
      <c r="D68" s="1">
        <v>50.2</v>
      </c>
    </row>
    <row r="69" spans="1:4" x14ac:dyDescent="0.3">
      <c r="A69" s="3" t="s">
        <v>174</v>
      </c>
      <c r="B69" s="4">
        <v>12359</v>
      </c>
      <c r="C69" s="1">
        <v>167</v>
      </c>
      <c r="D69" s="1">
        <v>42.1</v>
      </c>
    </row>
    <row r="70" spans="1:4" x14ac:dyDescent="0.3">
      <c r="A70" s="3" t="s">
        <v>175</v>
      </c>
      <c r="B70" s="4">
        <v>12389</v>
      </c>
      <c r="C70" s="1">
        <v>168</v>
      </c>
      <c r="D70" s="1">
        <v>35.799999999999997</v>
      </c>
    </row>
    <row r="71" spans="1:4" x14ac:dyDescent="0.3">
      <c r="A71" s="3" t="s">
        <v>176</v>
      </c>
      <c r="B71" s="4">
        <v>12420</v>
      </c>
      <c r="C71" s="1">
        <v>169</v>
      </c>
      <c r="D71" s="1">
        <v>39.4</v>
      </c>
    </row>
    <row r="72" spans="1:4" x14ac:dyDescent="0.3">
      <c r="A72" s="3" t="s">
        <v>177</v>
      </c>
      <c r="B72" s="4">
        <v>12451</v>
      </c>
      <c r="C72" s="1">
        <v>170</v>
      </c>
      <c r="D72" s="1">
        <v>38.200000000000003</v>
      </c>
    </row>
    <row r="73" spans="1:4" x14ac:dyDescent="0.3">
      <c r="A73" s="3" t="s">
        <v>178</v>
      </c>
      <c r="B73" s="4">
        <v>12479</v>
      </c>
      <c r="C73" s="1">
        <v>171</v>
      </c>
      <c r="D73" s="1">
        <v>40.4</v>
      </c>
    </row>
    <row r="74" spans="1:4" x14ac:dyDescent="0.3">
      <c r="A74" s="3" t="s">
        <v>179</v>
      </c>
      <c r="B74" s="4">
        <v>12510</v>
      </c>
      <c r="C74" s="1">
        <v>172</v>
      </c>
      <c r="D74" s="1">
        <v>46.9</v>
      </c>
    </row>
    <row r="75" spans="1:4" x14ac:dyDescent="0.3">
      <c r="A75" s="3" t="s">
        <v>180</v>
      </c>
      <c r="B75" s="4">
        <v>12540</v>
      </c>
      <c r="C75" s="1">
        <v>173</v>
      </c>
      <c r="D75" s="1">
        <v>53.4</v>
      </c>
    </row>
    <row r="76" spans="1:4" x14ac:dyDescent="0.3">
      <c r="A76" s="3" t="s">
        <v>181</v>
      </c>
      <c r="B76" s="4">
        <v>12571</v>
      </c>
      <c r="C76" s="1">
        <v>174</v>
      </c>
      <c r="D76" s="1">
        <v>59.6</v>
      </c>
    </row>
    <row r="77" spans="1:4" x14ac:dyDescent="0.3">
      <c r="A77" s="3" t="s">
        <v>182</v>
      </c>
      <c r="B77" s="4">
        <v>12601</v>
      </c>
      <c r="C77" s="1">
        <v>175</v>
      </c>
      <c r="D77" s="1">
        <v>66.5</v>
      </c>
    </row>
    <row r="78" spans="1:4" x14ac:dyDescent="0.3">
      <c r="A78" s="3" t="s">
        <v>183</v>
      </c>
      <c r="B78" s="4">
        <v>12632</v>
      </c>
      <c r="C78" s="1">
        <v>176</v>
      </c>
      <c r="D78" s="1">
        <v>60.4</v>
      </c>
    </row>
    <row r="79" spans="1:4" x14ac:dyDescent="0.3">
      <c r="A79" s="3" t="s">
        <v>184</v>
      </c>
      <c r="B79" s="4">
        <v>12663</v>
      </c>
      <c r="C79" s="1">
        <v>177</v>
      </c>
      <c r="D79" s="1">
        <v>59.2</v>
      </c>
    </row>
    <row r="80" spans="1:4" x14ac:dyDescent="0.3">
      <c r="A80" s="3" t="s">
        <v>185</v>
      </c>
      <c r="B80" s="4">
        <v>12693</v>
      </c>
      <c r="C80" s="1">
        <v>178</v>
      </c>
      <c r="D80" s="1">
        <v>51.2</v>
      </c>
    </row>
    <row r="81" spans="1:4" x14ac:dyDescent="0.3">
      <c r="A81" s="3" t="s">
        <v>186</v>
      </c>
      <c r="B81" s="4">
        <v>12724</v>
      </c>
      <c r="C81" s="1">
        <v>179</v>
      </c>
      <c r="D81" s="1">
        <v>42.8</v>
      </c>
    </row>
    <row r="82" spans="1:4" x14ac:dyDescent="0.3">
      <c r="A82" s="3" t="s">
        <v>187</v>
      </c>
      <c r="B82" s="4">
        <v>12754</v>
      </c>
      <c r="C82" s="1">
        <v>180</v>
      </c>
      <c r="D82" s="1">
        <v>45.8</v>
      </c>
    </row>
    <row r="83" spans="1:4" x14ac:dyDescent="0.3">
      <c r="A83" s="3" t="s">
        <v>188</v>
      </c>
      <c r="B83" s="4">
        <v>12785</v>
      </c>
      <c r="C83" s="1">
        <v>181</v>
      </c>
      <c r="D83" s="1">
        <v>40</v>
      </c>
    </row>
    <row r="84" spans="1:4" x14ac:dyDescent="0.3">
      <c r="A84" s="3" t="s">
        <v>189</v>
      </c>
      <c r="B84" s="4">
        <v>12816</v>
      </c>
      <c r="C84" s="1">
        <v>182</v>
      </c>
      <c r="D84" s="1">
        <v>42.6</v>
      </c>
    </row>
    <row r="85" spans="1:4" x14ac:dyDescent="0.3">
      <c r="A85" s="3" t="s">
        <v>190</v>
      </c>
      <c r="B85" s="4">
        <v>12844</v>
      </c>
      <c r="C85" s="1">
        <v>183</v>
      </c>
      <c r="D85" s="1">
        <v>43.5</v>
      </c>
    </row>
    <row r="86" spans="1:4" x14ac:dyDescent="0.3">
      <c r="A86" s="3" t="s">
        <v>191</v>
      </c>
      <c r="B86" s="4">
        <v>12875</v>
      </c>
      <c r="C86" s="1">
        <v>184</v>
      </c>
      <c r="D86" s="1">
        <v>47.1</v>
      </c>
    </row>
    <row r="87" spans="1:4" x14ac:dyDescent="0.3">
      <c r="A87" s="3" t="s">
        <v>192</v>
      </c>
      <c r="B87" s="4">
        <v>12905</v>
      </c>
      <c r="C87" s="1">
        <v>185</v>
      </c>
      <c r="D87" s="1">
        <v>50</v>
      </c>
    </row>
    <row r="88" spans="1:4" x14ac:dyDescent="0.3">
      <c r="A88" s="3" t="s">
        <v>193</v>
      </c>
      <c r="B88" s="4">
        <v>12936</v>
      </c>
      <c r="C88" s="1">
        <v>186</v>
      </c>
      <c r="D88" s="1">
        <v>60.5</v>
      </c>
    </row>
    <row r="89" spans="1:4" x14ac:dyDescent="0.3">
      <c r="A89" s="3" t="s">
        <v>194</v>
      </c>
      <c r="B89" s="4">
        <v>12966</v>
      </c>
      <c r="C89" s="1">
        <v>187</v>
      </c>
      <c r="D89" s="1">
        <v>64.599999999999994</v>
      </c>
    </row>
    <row r="90" spans="1:4" x14ac:dyDescent="0.3">
      <c r="A90" s="3" t="s">
        <v>195</v>
      </c>
      <c r="B90" s="4">
        <v>12997</v>
      </c>
      <c r="C90" s="1">
        <v>188</v>
      </c>
      <c r="D90" s="1">
        <v>64</v>
      </c>
    </row>
    <row r="91" spans="1:4" x14ac:dyDescent="0.3">
      <c r="A91" s="3" t="s">
        <v>196</v>
      </c>
      <c r="B91" s="4">
        <v>13028</v>
      </c>
      <c r="C91" s="1">
        <v>189</v>
      </c>
      <c r="D91" s="1">
        <v>56.8</v>
      </c>
    </row>
    <row r="92" spans="1:4" x14ac:dyDescent="0.3">
      <c r="A92" s="3" t="s">
        <v>197</v>
      </c>
      <c r="B92" s="4">
        <v>13058</v>
      </c>
      <c r="C92" s="1">
        <v>190</v>
      </c>
      <c r="D92" s="1">
        <v>48.6</v>
      </c>
    </row>
    <row r="93" spans="1:4" x14ac:dyDescent="0.3">
      <c r="A93" s="3" t="s">
        <v>198</v>
      </c>
      <c r="B93" s="4">
        <v>13089</v>
      </c>
      <c r="C93" s="1">
        <v>191</v>
      </c>
      <c r="D93" s="1">
        <v>44.2</v>
      </c>
    </row>
    <row r="94" spans="1:4" x14ac:dyDescent="0.3">
      <c r="A94" s="3" t="s">
        <v>199</v>
      </c>
      <c r="B94" s="4">
        <v>13119</v>
      </c>
      <c r="C94" s="1">
        <v>192</v>
      </c>
      <c r="D94" s="1">
        <v>36.4</v>
      </c>
    </row>
    <row r="95" spans="1:4" x14ac:dyDescent="0.3">
      <c r="A95" s="3" t="s">
        <v>200</v>
      </c>
      <c r="B95" s="4">
        <v>13150</v>
      </c>
      <c r="C95" s="1">
        <v>193</v>
      </c>
      <c r="D95" s="1">
        <v>37.299999999999997</v>
      </c>
    </row>
    <row r="96" spans="1:4" x14ac:dyDescent="0.3">
      <c r="A96" s="3" t="s">
        <v>201</v>
      </c>
      <c r="B96" s="4">
        <v>13181</v>
      </c>
      <c r="C96" s="1">
        <v>194</v>
      </c>
      <c r="D96" s="1">
        <v>35</v>
      </c>
    </row>
    <row r="97" spans="1:4" x14ac:dyDescent="0.3">
      <c r="A97" s="3" t="s">
        <v>202</v>
      </c>
      <c r="B97" s="4">
        <v>13210</v>
      </c>
      <c r="C97" s="1">
        <v>195</v>
      </c>
      <c r="D97" s="1">
        <v>44</v>
      </c>
    </row>
    <row r="98" spans="1:4" x14ac:dyDescent="0.3">
      <c r="A98" s="3" t="s">
        <v>203</v>
      </c>
      <c r="B98" s="4">
        <v>13241</v>
      </c>
      <c r="C98" s="1">
        <v>196</v>
      </c>
      <c r="D98" s="1">
        <v>43.9</v>
      </c>
    </row>
    <row r="99" spans="1:4" x14ac:dyDescent="0.3">
      <c r="A99" s="3" t="s">
        <v>204</v>
      </c>
      <c r="B99" s="4">
        <v>13271</v>
      </c>
      <c r="C99" s="1">
        <v>197</v>
      </c>
      <c r="D99" s="1">
        <v>52.7</v>
      </c>
    </row>
    <row r="100" spans="1:4" x14ac:dyDescent="0.3">
      <c r="A100" s="3" t="s">
        <v>205</v>
      </c>
      <c r="B100" s="4">
        <v>13302</v>
      </c>
      <c r="C100" s="1">
        <v>198</v>
      </c>
      <c r="D100" s="1">
        <v>58.6</v>
      </c>
    </row>
    <row r="101" spans="1:4" x14ac:dyDescent="0.3">
      <c r="A101" s="3" t="s">
        <v>206</v>
      </c>
      <c r="B101" s="4">
        <v>13332</v>
      </c>
      <c r="C101" s="1">
        <v>199</v>
      </c>
    </row>
    <row r="102" spans="1:4" x14ac:dyDescent="0.3">
      <c r="A102" s="3" t="s">
        <v>207</v>
      </c>
      <c r="B102" s="4">
        <v>13363</v>
      </c>
      <c r="C102" s="1">
        <v>200</v>
      </c>
    </row>
    <row r="103" spans="1:4" x14ac:dyDescent="0.3">
      <c r="A103" s="3" t="s">
        <v>208</v>
      </c>
      <c r="B103" s="4">
        <v>13394</v>
      </c>
      <c r="C103" s="1">
        <v>201</v>
      </c>
    </row>
    <row r="104" spans="1:4" x14ac:dyDescent="0.3">
      <c r="A104" s="3" t="s">
        <v>209</v>
      </c>
      <c r="B104" s="4">
        <v>13424</v>
      </c>
      <c r="C104" s="1">
        <v>202</v>
      </c>
    </row>
    <row r="105" spans="1:4" x14ac:dyDescent="0.3">
      <c r="A105" s="3" t="s">
        <v>210</v>
      </c>
      <c r="B105" s="4">
        <v>13455</v>
      </c>
      <c r="C105" s="1">
        <v>203</v>
      </c>
    </row>
    <row r="106" spans="1:4" x14ac:dyDescent="0.3">
      <c r="A106" s="3" t="s">
        <v>211</v>
      </c>
      <c r="B106" s="4">
        <v>13485</v>
      </c>
      <c r="C106" s="1">
        <v>204</v>
      </c>
    </row>
    <row r="107" spans="1:4" x14ac:dyDescent="0.3">
      <c r="A107" s="3" t="s">
        <v>212</v>
      </c>
      <c r="B107" s="4">
        <v>13516</v>
      </c>
      <c r="C107" s="1">
        <v>205</v>
      </c>
    </row>
    <row r="108" spans="1:4" x14ac:dyDescent="0.3">
      <c r="A108" s="3" t="s">
        <v>213</v>
      </c>
      <c r="B108" s="4">
        <v>13547</v>
      </c>
      <c r="C108" s="1">
        <v>206</v>
      </c>
    </row>
    <row r="109" spans="1:4" x14ac:dyDescent="0.3">
      <c r="A109" s="3" t="s">
        <v>214</v>
      </c>
      <c r="B109" s="4">
        <v>13575</v>
      </c>
      <c r="C109" s="1">
        <v>207</v>
      </c>
    </row>
    <row r="110" spans="1:4" x14ac:dyDescent="0.3">
      <c r="A110" s="3" t="s">
        <v>215</v>
      </c>
      <c r="B110" s="4">
        <v>13606</v>
      </c>
      <c r="C110" s="1">
        <v>208</v>
      </c>
    </row>
    <row r="111" spans="1:4" x14ac:dyDescent="0.3">
      <c r="A111" s="3" t="s">
        <v>216</v>
      </c>
      <c r="B111" s="4">
        <v>13636</v>
      </c>
      <c r="C111" s="1">
        <v>209</v>
      </c>
    </row>
    <row r="112" spans="1:4" x14ac:dyDescent="0.3">
      <c r="A112" s="3" t="s">
        <v>217</v>
      </c>
      <c r="B112" s="4">
        <v>13667</v>
      </c>
      <c r="C112" s="1">
        <v>210</v>
      </c>
    </row>
    <row r="113" spans="1:3" x14ac:dyDescent="0.3">
      <c r="A113" s="3" t="s">
        <v>218</v>
      </c>
      <c r="B113" s="4">
        <v>13697</v>
      </c>
      <c r="C113" s="1">
        <v>211</v>
      </c>
    </row>
    <row r="114" spans="1:3" x14ac:dyDescent="0.3">
      <c r="A114" s="3" t="s">
        <v>219</v>
      </c>
      <c r="B114" s="4">
        <v>13728</v>
      </c>
      <c r="C114" s="1">
        <v>212</v>
      </c>
    </row>
    <row r="115" spans="1:3" x14ac:dyDescent="0.3">
      <c r="A115" s="3" t="s">
        <v>220</v>
      </c>
      <c r="B115" s="4">
        <v>13759</v>
      </c>
      <c r="C115" s="1">
        <v>213</v>
      </c>
    </row>
    <row r="116" spans="1:3" x14ac:dyDescent="0.3">
      <c r="A116" s="3" t="s">
        <v>221</v>
      </c>
      <c r="B116" s="4">
        <v>13789</v>
      </c>
      <c r="C116" s="1">
        <v>214</v>
      </c>
    </row>
    <row r="117" spans="1:3" x14ac:dyDescent="0.3">
      <c r="A117" s="3" t="s">
        <v>222</v>
      </c>
      <c r="B117" s="4">
        <v>13820</v>
      </c>
      <c r="C117" s="1">
        <v>215</v>
      </c>
    </row>
    <row r="118" spans="1:3" x14ac:dyDescent="0.3">
      <c r="A118" s="3" t="s">
        <v>223</v>
      </c>
      <c r="B118" s="4">
        <v>13850</v>
      </c>
      <c r="C118" s="1">
        <v>216</v>
      </c>
    </row>
    <row r="119" spans="1:3" x14ac:dyDescent="0.3">
      <c r="A119" s="3" t="s">
        <v>224</v>
      </c>
      <c r="B119" s="4">
        <v>13881</v>
      </c>
      <c r="C119" s="1">
        <v>217</v>
      </c>
    </row>
    <row r="120" spans="1:3" x14ac:dyDescent="0.3">
      <c r="A120" s="3" t="s">
        <v>225</v>
      </c>
      <c r="B120" s="4">
        <v>13912</v>
      </c>
      <c r="C120" s="1">
        <v>218</v>
      </c>
    </row>
    <row r="121" spans="1:3" x14ac:dyDescent="0.3">
      <c r="A121" s="3" t="s">
        <v>226</v>
      </c>
      <c r="B121" s="4">
        <v>13940</v>
      </c>
      <c r="C121" s="1">
        <v>219</v>
      </c>
    </row>
    <row r="122" spans="1:3" x14ac:dyDescent="0.3">
      <c r="A122" s="3" t="s">
        <v>227</v>
      </c>
      <c r="B122" s="4">
        <v>13971</v>
      </c>
      <c r="C122" s="1">
        <v>220</v>
      </c>
    </row>
    <row r="123" spans="1:3" x14ac:dyDescent="0.3">
      <c r="A123" s="3" t="s">
        <v>228</v>
      </c>
      <c r="B123" s="4">
        <v>14001</v>
      </c>
      <c r="C123" s="1">
        <v>221</v>
      </c>
    </row>
    <row r="124" spans="1:3" x14ac:dyDescent="0.3">
      <c r="A124" s="3" t="s">
        <v>229</v>
      </c>
      <c r="B124" s="4">
        <v>14032</v>
      </c>
      <c r="C124" s="1">
        <v>222</v>
      </c>
    </row>
    <row r="125" spans="1:3" x14ac:dyDescent="0.3">
      <c r="A125" s="3" t="s">
        <v>230</v>
      </c>
      <c r="B125" s="4">
        <v>14062</v>
      </c>
      <c r="C125" s="1">
        <v>223</v>
      </c>
    </row>
    <row r="126" spans="1:3" x14ac:dyDescent="0.3">
      <c r="A126" s="3" t="s">
        <v>231</v>
      </c>
      <c r="B126" s="4">
        <v>14093</v>
      </c>
      <c r="C126" s="1">
        <v>224</v>
      </c>
    </row>
    <row r="127" spans="1:3" x14ac:dyDescent="0.3">
      <c r="A127" s="3" t="s">
        <v>232</v>
      </c>
      <c r="B127" s="4">
        <v>14124</v>
      </c>
      <c r="C127" s="1">
        <v>225</v>
      </c>
    </row>
    <row r="128" spans="1:3" x14ac:dyDescent="0.3">
      <c r="A128" s="3" t="s">
        <v>233</v>
      </c>
      <c r="B128" s="4">
        <v>14154</v>
      </c>
      <c r="C128" s="1">
        <v>226</v>
      </c>
    </row>
    <row r="129" spans="1:3" x14ac:dyDescent="0.3">
      <c r="A129" s="3" t="s">
        <v>234</v>
      </c>
      <c r="B129" s="4">
        <v>14185</v>
      </c>
      <c r="C129" s="1">
        <v>227</v>
      </c>
    </row>
    <row r="130" spans="1:3" x14ac:dyDescent="0.3">
      <c r="A130" s="3" t="s">
        <v>235</v>
      </c>
      <c r="B130" s="4">
        <v>14215</v>
      </c>
      <c r="C130" s="1">
        <v>228</v>
      </c>
    </row>
    <row r="131" spans="1:3" x14ac:dyDescent="0.3">
      <c r="A131" s="3" t="s">
        <v>236</v>
      </c>
      <c r="B131" s="4">
        <v>14246</v>
      </c>
      <c r="C131" s="1">
        <v>229</v>
      </c>
    </row>
    <row r="132" spans="1:3" x14ac:dyDescent="0.3">
      <c r="A132" s="3" t="s">
        <v>237</v>
      </c>
      <c r="B132" s="4">
        <v>14277</v>
      </c>
      <c r="C132" s="1">
        <v>230</v>
      </c>
    </row>
    <row r="133" spans="1:3" x14ac:dyDescent="0.3">
      <c r="A133" s="3" t="s">
        <v>238</v>
      </c>
      <c r="B133" s="4">
        <v>14305</v>
      </c>
      <c r="C133" s="1">
        <v>231</v>
      </c>
    </row>
    <row r="134" spans="1:3" x14ac:dyDescent="0.3">
      <c r="A134" s="3" t="s">
        <v>239</v>
      </c>
      <c r="B134" s="4">
        <v>14336</v>
      </c>
      <c r="C134" s="1">
        <v>232</v>
      </c>
    </row>
    <row r="135" spans="1:3" x14ac:dyDescent="0.3">
      <c r="A135" s="3" t="s">
        <v>240</v>
      </c>
      <c r="B135" s="4">
        <v>14366</v>
      </c>
      <c r="C135" s="1">
        <v>233</v>
      </c>
    </row>
    <row r="136" spans="1:3" x14ac:dyDescent="0.3">
      <c r="A136" s="3" t="s">
        <v>241</v>
      </c>
      <c r="B136" s="4">
        <v>14397</v>
      </c>
      <c r="C136" s="1">
        <v>234</v>
      </c>
    </row>
    <row r="137" spans="1:3" x14ac:dyDescent="0.3">
      <c r="A137" s="3" t="s">
        <v>242</v>
      </c>
      <c r="B137" s="4">
        <v>14427</v>
      </c>
      <c r="C137" s="1">
        <v>235</v>
      </c>
    </row>
    <row r="138" spans="1:3" x14ac:dyDescent="0.3">
      <c r="A138" s="3" t="s">
        <v>243</v>
      </c>
      <c r="B138" s="4">
        <v>14458</v>
      </c>
      <c r="C138" s="1">
        <v>236</v>
      </c>
    </row>
    <row r="139" spans="1:3" x14ac:dyDescent="0.3">
      <c r="A139" s="3" t="s">
        <v>244</v>
      </c>
      <c r="B139" s="4">
        <v>14489</v>
      </c>
      <c r="C139" s="1">
        <v>237</v>
      </c>
    </row>
    <row r="140" spans="1:3" x14ac:dyDescent="0.3">
      <c r="A140" s="3" t="s">
        <v>245</v>
      </c>
      <c r="B140" s="4">
        <v>14519</v>
      </c>
      <c r="C140" s="1">
        <v>238</v>
      </c>
    </row>
    <row r="141" spans="1:3" x14ac:dyDescent="0.3">
      <c r="A141" s="3" t="s">
        <v>246</v>
      </c>
      <c r="B141" s="4">
        <v>14550</v>
      </c>
      <c r="C141" s="1">
        <v>239</v>
      </c>
    </row>
    <row r="142" spans="1:3" x14ac:dyDescent="0.3">
      <c r="A142" s="3" t="s">
        <v>247</v>
      </c>
      <c r="B142" s="4">
        <v>14580</v>
      </c>
      <c r="C142" s="1">
        <v>240</v>
      </c>
    </row>
  </sheetData>
  <mergeCells count="2">
    <mergeCell ref="S1:W5"/>
    <mergeCell ref="J1:N4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657D3-0396-40A3-8B57-3ACC16D1D34F}">
  <sheetPr>
    <tabColor theme="8" tint="0.59999389629810485"/>
  </sheetPr>
  <dimension ref="A1:W142"/>
  <sheetViews>
    <sheetView tabSelected="1" workbookViewId="0">
      <selection activeCell="H18" sqref="H18"/>
    </sheetView>
  </sheetViews>
  <sheetFormatPr defaultRowHeight="15.6" x14ac:dyDescent="0.3"/>
  <cols>
    <col min="1" max="1" width="12" style="3" customWidth="1"/>
    <col min="2" max="2" width="22.88671875" customWidth="1"/>
    <col min="3" max="3" width="20.109375" style="1" customWidth="1"/>
    <col min="4" max="4" width="25.88671875" style="1" bestFit="1" customWidth="1"/>
    <col min="5" max="5" width="10.88671875" customWidth="1"/>
    <col min="6" max="6" width="17" customWidth="1"/>
    <col min="7" max="7" width="23.44140625" customWidth="1"/>
    <col min="8" max="8" width="22.5546875" customWidth="1"/>
    <col min="9" max="9" width="10.44140625" customWidth="1"/>
  </cols>
  <sheetData>
    <row r="1" spans="1:23" ht="15.6" customHeight="1" x14ac:dyDescent="0.3">
      <c r="A1" s="3" t="s">
        <v>0</v>
      </c>
      <c r="B1" t="s">
        <v>1</v>
      </c>
      <c r="C1" s="1" t="s">
        <v>2</v>
      </c>
      <c r="D1" s="5" t="s">
        <v>249</v>
      </c>
      <c r="E1" s="6" t="s">
        <v>4</v>
      </c>
      <c r="F1" s="6" t="s">
        <v>5</v>
      </c>
      <c r="G1" s="6" t="s">
        <v>6</v>
      </c>
      <c r="H1" s="6" t="s">
        <v>7</v>
      </c>
      <c r="J1" s="8"/>
      <c r="K1" s="8"/>
      <c r="L1" s="8"/>
      <c r="M1" s="8"/>
      <c r="N1" s="8"/>
      <c r="S1" s="8"/>
      <c r="T1" s="8"/>
      <c r="U1" s="8"/>
      <c r="V1" s="8"/>
      <c r="W1" s="8"/>
    </row>
    <row r="2" spans="1:23" ht="15.6" customHeight="1" x14ac:dyDescent="0.3">
      <c r="A2" s="3" t="s">
        <v>8</v>
      </c>
      <c r="B2" s="4">
        <v>7306</v>
      </c>
      <c r="C2" s="1">
        <v>1</v>
      </c>
      <c r="D2" s="1">
        <v>60</v>
      </c>
      <c r="E2" s="9">
        <f>AVERAGE(D2:D50)</f>
        <v>49.20816326530614</v>
      </c>
      <c r="F2">
        <f>+MEDIAN(D2:D50)</f>
        <v>47.8</v>
      </c>
      <c r="G2" s="2">
        <f>+MODE(D2:D50)</f>
        <v>61.8</v>
      </c>
      <c r="H2" s="9">
        <f>STDEV(D2:D50)</f>
        <v>8.7099042459023526</v>
      </c>
      <c r="J2" s="8"/>
      <c r="K2" s="8"/>
      <c r="L2" s="8"/>
      <c r="M2" s="8"/>
      <c r="N2" s="8"/>
      <c r="S2" s="8"/>
      <c r="T2" s="8"/>
      <c r="U2" s="8"/>
      <c r="V2" s="8"/>
      <c r="W2" s="8"/>
    </row>
    <row r="3" spans="1:23" ht="15.6" customHeight="1" x14ac:dyDescent="0.3">
      <c r="A3" s="3" t="s">
        <v>9</v>
      </c>
      <c r="B3" s="4">
        <v>7337</v>
      </c>
      <c r="C3" s="1">
        <v>2</v>
      </c>
      <c r="D3" s="1">
        <v>61.1</v>
      </c>
      <c r="G3" s="2"/>
      <c r="J3" s="8"/>
      <c r="K3" s="8"/>
      <c r="L3" s="8"/>
      <c r="M3" s="8"/>
      <c r="N3" s="8"/>
      <c r="S3" s="8"/>
      <c r="T3" s="8"/>
      <c r="U3" s="8"/>
      <c r="V3" s="8"/>
      <c r="W3" s="8"/>
    </row>
    <row r="4" spans="1:23" ht="15.6" customHeight="1" x14ac:dyDescent="0.3">
      <c r="A4" s="3" t="s">
        <v>10</v>
      </c>
      <c r="B4" s="4">
        <v>7366</v>
      </c>
      <c r="C4" s="1">
        <v>3</v>
      </c>
      <c r="D4" s="1">
        <v>58.1</v>
      </c>
      <c r="G4" s="2"/>
      <c r="J4" s="8"/>
      <c r="K4" s="8"/>
      <c r="L4" s="8"/>
      <c r="M4" s="8"/>
      <c r="N4" s="8"/>
      <c r="S4" s="8"/>
      <c r="T4" s="8"/>
      <c r="U4" s="8"/>
      <c r="V4" s="8"/>
      <c r="W4" s="8"/>
    </row>
    <row r="5" spans="1:23" ht="15.6" customHeight="1" x14ac:dyDescent="0.3">
      <c r="A5" s="3" t="s">
        <v>11</v>
      </c>
      <c r="B5" s="4">
        <v>7397</v>
      </c>
      <c r="C5" s="1">
        <v>4</v>
      </c>
      <c r="D5" s="1">
        <v>49.6</v>
      </c>
      <c r="S5" s="8"/>
      <c r="T5" s="8"/>
      <c r="U5" s="8"/>
      <c r="V5" s="8"/>
      <c r="W5" s="8"/>
    </row>
    <row r="6" spans="1:23" x14ac:dyDescent="0.3">
      <c r="A6" s="3" t="s">
        <v>12</v>
      </c>
      <c r="B6" s="4">
        <v>7427</v>
      </c>
      <c r="C6" s="1">
        <v>5</v>
      </c>
      <c r="D6" s="1">
        <v>41.6</v>
      </c>
    </row>
    <row r="7" spans="1:23" x14ac:dyDescent="0.3">
      <c r="A7" s="3" t="s">
        <v>17</v>
      </c>
      <c r="B7" s="4">
        <v>7580</v>
      </c>
      <c r="C7" s="1">
        <v>10</v>
      </c>
      <c r="D7" s="1">
        <v>41.3</v>
      </c>
    </row>
    <row r="8" spans="1:23" x14ac:dyDescent="0.3">
      <c r="A8" s="3" t="s">
        <v>18</v>
      </c>
      <c r="B8" s="4">
        <v>7611</v>
      </c>
      <c r="C8" s="1">
        <v>11</v>
      </c>
      <c r="D8" s="1">
        <v>40.799999999999997</v>
      </c>
    </row>
    <row r="9" spans="1:23" x14ac:dyDescent="0.3">
      <c r="A9" s="3" t="s">
        <v>19</v>
      </c>
      <c r="B9" s="4">
        <v>7641</v>
      </c>
      <c r="C9" s="1">
        <v>12</v>
      </c>
      <c r="D9" s="1">
        <v>41</v>
      </c>
    </row>
    <row r="10" spans="1:23" x14ac:dyDescent="0.3">
      <c r="A10" s="3" t="s">
        <v>20</v>
      </c>
      <c r="B10" s="4">
        <v>7672</v>
      </c>
      <c r="C10" s="1">
        <v>13</v>
      </c>
      <c r="D10" s="1">
        <v>38.4</v>
      </c>
    </row>
    <row r="11" spans="1:23" x14ac:dyDescent="0.3">
      <c r="A11" s="3" t="s">
        <v>21</v>
      </c>
      <c r="B11" s="4">
        <v>7703</v>
      </c>
      <c r="C11" s="1">
        <v>14</v>
      </c>
      <c r="D11" s="1">
        <v>47.4</v>
      </c>
    </row>
    <row r="12" spans="1:23" x14ac:dyDescent="0.3">
      <c r="A12" s="3" t="s">
        <v>22</v>
      </c>
      <c r="B12" s="4">
        <v>7731</v>
      </c>
      <c r="C12" s="1">
        <v>15</v>
      </c>
      <c r="D12" s="1">
        <v>54.1</v>
      </c>
    </row>
    <row r="13" spans="1:23" x14ac:dyDescent="0.3">
      <c r="A13" s="3" t="s">
        <v>23</v>
      </c>
      <c r="B13" s="4">
        <v>7762</v>
      </c>
      <c r="C13" s="1">
        <v>16</v>
      </c>
      <c r="D13" s="1">
        <v>58.6</v>
      </c>
    </row>
    <row r="14" spans="1:23" x14ac:dyDescent="0.3">
      <c r="A14" s="3" t="s">
        <v>24</v>
      </c>
      <c r="B14" s="4">
        <v>7792</v>
      </c>
      <c r="C14" s="1">
        <v>17</v>
      </c>
      <c r="D14" s="1">
        <v>61.4</v>
      </c>
    </row>
    <row r="15" spans="1:23" x14ac:dyDescent="0.3">
      <c r="A15" s="3" t="s">
        <v>25</v>
      </c>
      <c r="B15" s="4">
        <v>7823</v>
      </c>
      <c r="C15" s="1">
        <v>18</v>
      </c>
      <c r="D15" s="1">
        <v>61.8</v>
      </c>
    </row>
    <row r="16" spans="1:23" x14ac:dyDescent="0.3">
      <c r="A16" s="3" t="s">
        <v>26</v>
      </c>
      <c r="B16" s="4">
        <v>7853</v>
      </c>
      <c r="C16" s="1">
        <v>19</v>
      </c>
      <c r="D16" s="1">
        <v>56.3</v>
      </c>
    </row>
    <row r="17" spans="1:4" x14ac:dyDescent="0.3">
      <c r="A17" s="3" t="s">
        <v>27</v>
      </c>
      <c r="B17" s="4">
        <v>7884</v>
      </c>
      <c r="C17" s="1">
        <v>20</v>
      </c>
      <c r="D17" s="1">
        <v>50.9</v>
      </c>
    </row>
    <row r="18" spans="1:4" x14ac:dyDescent="0.3">
      <c r="A18" s="3" t="s">
        <v>28</v>
      </c>
      <c r="B18" s="4">
        <v>7915</v>
      </c>
      <c r="C18" s="1">
        <v>21</v>
      </c>
      <c r="D18" s="1">
        <v>41.4</v>
      </c>
    </row>
    <row r="19" spans="1:4" x14ac:dyDescent="0.3">
      <c r="A19" s="3" t="s">
        <v>29</v>
      </c>
      <c r="B19" s="4">
        <v>7945</v>
      </c>
      <c r="C19" s="1">
        <v>22</v>
      </c>
      <c r="D19" s="1">
        <v>37.1</v>
      </c>
    </row>
    <row r="20" spans="1:4" x14ac:dyDescent="0.3">
      <c r="A20" s="3" t="s">
        <v>30</v>
      </c>
      <c r="B20" s="4">
        <v>7976</v>
      </c>
      <c r="C20" s="1">
        <v>23</v>
      </c>
      <c r="D20" s="1">
        <v>42.1</v>
      </c>
    </row>
    <row r="21" spans="1:4" x14ac:dyDescent="0.3">
      <c r="A21" s="3" t="s">
        <v>31</v>
      </c>
      <c r="B21" s="4">
        <v>8006</v>
      </c>
      <c r="C21" s="1">
        <v>24</v>
      </c>
      <c r="D21" s="1">
        <v>41.2</v>
      </c>
    </row>
    <row r="22" spans="1:4" x14ac:dyDescent="0.3">
      <c r="A22" s="3" t="s">
        <v>32</v>
      </c>
      <c r="B22" s="4">
        <v>8037</v>
      </c>
      <c r="C22" s="1">
        <v>25</v>
      </c>
      <c r="D22" s="1">
        <v>47.3</v>
      </c>
    </row>
    <row r="23" spans="1:4" x14ac:dyDescent="0.3">
      <c r="A23" s="3" t="s">
        <v>107</v>
      </c>
      <c r="B23" s="4">
        <v>10319</v>
      </c>
      <c r="C23" s="1">
        <v>100</v>
      </c>
      <c r="D23" s="1">
        <v>46.6</v>
      </c>
    </row>
    <row r="24" spans="1:4" x14ac:dyDescent="0.3">
      <c r="A24" s="3" t="s">
        <v>108</v>
      </c>
      <c r="B24" s="4">
        <v>10349</v>
      </c>
      <c r="C24" s="1">
        <v>101</v>
      </c>
      <c r="D24" s="1">
        <v>52.4</v>
      </c>
    </row>
    <row r="25" spans="1:4" x14ac:dyDescent="0.3">
      <c r="A25" s="3" t="s">
        <v>109</v>
      </c>
      <c r="B25" s="4">
        <v>10380</v>
      </c>
      <c r="C25" s="1">
        <v>102</v>
      </c>
      <c r="D25" s="1">
        <v>59</v>
      </c>
    </row>
    <row r="26" spans="1:4" x14ac:dyDescent="0.3">
      <c r="A26" s="3" t="s">
        <v>110</v>
      </c>
      <c r="B26" s="4">
        <v>10410</v>
      </c>
      <c r="C26" s="1">
        <v>103</v>
      </c>
      <c r="D26" s="1">
        <v>59.6</v>
      </c>
    </row>
    <row r="27" spans="1:4" x14ac:dyDescent="0.3">
      <c r="A27" s="3" t="s">
        <v>111</v>
      </c>
      <c r="B27" s="4">
        <v>10441</v>
      </c>
      <c r="C27" s="1">
        <v>104</v>
      </c>
      <c r="D27" s="1">
        <v>60.4</v>
      </c>
    </row>
    <row r="28" spans="1:4" x14ac:dyDescent="0.3">
      <c r="A28" s="3" t="s">
        <v>112</v>
      </c>
      <c r="B28" s="4">
        <v>10472</v>
      </c>
      <c r="C28" s="1">
        <v>105</v>
      </c>
      <c r="D28" s="1">
        <v>57</v>
      </c>
    </row>
    <row r="29" spans="1:4" x14ac:dyDescent="0.3">
      <c r="A29" s="3" t="s">
        <v>113</v>
      </c>
      <c r="B29" s="4">
        <v>10502</v>
      </c>
      <c r="C29" s="1">
        <v>106</v>
      </c>
      <c r="D29" s="1">
        <v>50.7</v>
      </c>
    </row>
    <row r="30" spans="1:4" x14ac:dyDescent="0.3">
      <c r="A30" s="3" t="s">
        <v>114</v>
      </c>
      <c r="B30" s="4">
        <v>10533</v>
      </c>
      <c r="C30" s="1">
        <v>107</v>
      </c>
      <c r="D30" s="1">
        <v>47.8</v>
      </c>
    </row>
    <row r="31" spans="1:4" x14ac:dyDescent="0.3">
      <c r="A31" s="3" t="s">
        <v>115</v>
      </c>
      <c r="B31" s="4">
        <v>10563</v>
      </c>
      <c r="C31" s="1">
        <v>108</v>
      </c>
      <c r="D31" s="1">
        <v>39.200000000000003</v>
      </c>
    </row>
    <row r="32" spans="1:4" x14ac:dyDescent="0.3">
      <c r="A32" s="3" t="s">
        <v>137</v>
      </c>
      <c r="B32" s="4">
        <v>11232</v>
      </c>
      <c r="C32" s="1">
        <v>130</v>
      </c>
      <c r="D32" s="1">
        <v>39.4</v>
      </c>
    </row>
    <row r="33" spans="1:4" x14ac:dyDescent="0.3">
      <c r="A33" s="3" t="s">
        <v>138</v>
      </c>
      <c r="B33" s="4">
        <v>11263</v>
      </c>
      <c r="C33" s="1">
        <v>131</v>
      </c>
      <c r="D33" s="1">
        <v>40.9</v>
      </c>
    </row>
    <row r="34" spans="1:4" x14ac:dyDescent="0.3">
      <c r="A34" s="3" t="s">
        <v>139</v>
      </c>
      <c r="B34" s="4">
        <v>11293</v>
      </c>
      <c r="C34" s="1">
        <v>132</v>
      </c>
      <c r="D34" s="1">
        <v>42.4</v>
      </c>
    </row>
    <row r="35" spans="1:4" x14ac:dyDescent="0.3">
      <c r="A35" s="3" t="s">
        <v>140</v>
      </c>
      <c r="B35" s="4">
        <v>11324</v>
      </c>
      <c r="C35" s="1">
        <v>133</v>
      </c>
      <c r="D35" s="1">
        <v>47.8</v>
      </c>
    </row>
    <row r="36" spans="1:4" x14ac:dyDescent="0.3">
      <c r="A36" s="3" t="s">
        <v>141</v>
      </c>
      <c r="B36" s="4">
        <v>11355</v>
      </c>
      <c r="C36" s="1">
        <v>134</v>
      </c>
      <c r="D36" s="1">
        <v>52.4</v>
      </c>
    </row>
    <row r="37" spans="1:4" x14ac:dyDescent="0.3">
      <c r="A37" s="3" t="s">
        <v>142</v>
      </c>
      <c r="B37" s="4">
        <v>11383</v>
      </c>
      <c r="C37" s="1">
        <v>135</v>
      </c>
      <c r="D37" s="1">
        <v>58</v>
      </c>
    </row>
    <row r="38" spans="1:4" x14ac:dyDescent="0.3">
      <c r="A38" s="3" t="s">
        <v>143</v>
      </c>
      <c r="B38" s="4">
        <v>11414</v>
      </c>
      <c r="C38" s="1">
        <v>136</v>
      </c>
      <c r="D38" s="1">
        <v>60.7</v>
      </c>
    </row>
    <row r="39" spans="1:4" x14ac:dyDescent="0.3">
      <c r="A39" s="3" t="s">
        <v>144</v>
      </c>
      <c r="B39" s="4">
        <v>11444</v>
      </c>
      <c r="C39" s="1">
        <v>137</v>
      </c>
      <c r="D39" s="1">
        <v>61.8</v>
      </c>
    </row>
    <row r="40" spans="1:4" x14ac:dyDescent="0.3">
      <c r="A40" s="3" t="s">
        <v>145</v>
      </c>
      <c r="B40" s="4">
        <v>11475</v>
      </c>
      <c r="C40" s="1">
        <v>138</v>
      </c>
      <c r="D40" s="1">
        <v>58.2</v>
      </c>
    </row>
    <row r="41" spans="1:4" x14ac:dyDescent="0.3">
      <c r="A41" s="3" t="s">
        <v>146</v>
      </c>
      <c r="B41" s="4">
        <v>11505</v>
      </c>
      <c r="C41" s="1">
        <v>139</v>
      </c>
      <c r="D41" s="1">
        <v>46.7</v>
      </c>
    </row>
    <row r="42" spans="1:4" x14ac:dyDescent="0.3">
      <c r="A42" s="3" t="s">
        <v>147</v>
      </c>
      <c r="B42" s="4">
        <v>11536</v>
      </c>
      <c r="C42" s="1">
        <v>140</v>
      </c>
      <c r="D42" s="1">
        <v>46.6</v>
      </c>
    </row>
    <row r="43" spans="1:4" x14ac:dyDescent="0.3">
      <c r="A43" s="3" t="s">
        <v>148</v>
      </c>
      <c r="B43" s="4">
        <v>11567</v>
      </c>
      <c r="C43" s="1">
        <v>141</v>
      </c>
      <c r="D43" s="1">
        <v>37.799999999999997</v>
      </c>
    </row>
    <row r="44" spans="1:4" x14ac:dyDescent="0.3">
      <c r="A44" s="3" t="s">
        <v>149</v>
      </c>
      <c r="B44" s="4">
        <v>11597</v>
      </c>
      <c r="C44" s="1">
        <v>142</v>
      </c>
      <c r="D44" s="1">
        <v>36.5</v>
      </c>
    </row>
    <row r="45" spans="1:4" x14ac:dyDescent="0.3">
      <c r="A45" s="3" t="s">
        <v>150</v>
      </c>
      <c r="B45" s="4">
        <v>11628</v>
      </c>
      <c r="C45" s="1">
        <v>143</v>
      </c>
      <c r="D45" s="1">
        <v>38.5</v>
      </c>
    </row>
    <row r="46" spans="1:4" x14ac:dyDescent="0.3">
      <c r="A46" s="3" t="s">
        <v>151</v>
      </c>
      <c r="B46" s="4">
        <v>11658</v>
      </c>
      <c r="C46" s="1">
        <v>144</v>
      </c>
      <c r="D46" s="1">
        <v>59.3</v>
      </c>
    </row>
    <row r="47" spans="1:4" x14ac:dyDescent="0.3">
      <c r="A47" s="3" t="s">
        <v>152</v>
      </c>
      <c r="B47" s="4">
        <v>11689</v>
      </c>
      <c r="C47" s="1">
        <v>145</v>
      </c>
      <c r="D47" s="1">
        <v>58.9</v>
      </c>
    </row>
    <row r="48" spans="1:4" x14ac:dyDescent="0.3">
      <c r="A48" s="3" t="s">
        <v>153</v>
      </c>
      <c r="B48" s="4">
        <v>11720</v>
      </c>
      <c r="C48" s="1">
        <v>146</v>
      </c>
      <c r="D48" s="1">
        <v>42.5</v>
      </c>
    </row>
    <row r="49" spans="1:4" x14ac:dyDescent="0.3">
      <c r="A49" s="3" t="s">
        <v>154</v>
      </c>
      <c r="B49" s="4">
        <v>11749</v>
      </c>
      <c r="C49" s="1">
        <v>147</v>
      </c>
      <c r="D49" s="1">
        <v>45.9</v>
      </c>
    </row>
    <row r="50" spans="1:4" x14ac:dyDescent="0.3">
      <c r="A50" s="3" t="s">
        <v>155</v>
      </c>
      <c r="B50" s="4">
        <v>11780</v>
      </c>
      <c r="C50" s="1">
        <v>148</v>
      </c>
      <c r="D50" s="1">
        <v>32.700000000000003</v>
      </c>
    </row>
    <row r="51" spans="1:4" x14ac:dyDescent="0.3">
      <c r="A51" s="3" t="s">
        <v>156</v>
      </c>
      <c r="B51" s="4">
        <v>11810</v>
      </c>
      <c r="C51" s="1">
        <v>149</v>
      </c>
    </row>
    <row r="52" spans="1:4" x14ac:dyDescent="0.3">
      <c r="A52" s="3" t="s">
        <v>157</v>
      </c>
      <c r="B52" s="4">
        <v>11841</v>
      </c>
      <c r="C52" s="1">
        <v>150</v>
      </c>
    </row>
    <row r="53" spans="1:4" x14ac:dyDescent="0.3">
      <c r="A53" s="3" t="s">
        <v>158</v>
      </c>
      <c r="B53" s="4">
        <v>11871</v>
      </c>
      <c r="C53" s="1">
        <v>151</v>
      </c>
    </row>
    <row r="54" spans="1:4" x14ac:dyDescent="0.3">
      <c r="A54" s="3" t="s">
        <v>159</v>
      </c>
      <c r="B54" s="4">
        <v>11902</v>
      </c>
      <c r="C54" s="1">
        <v>152</v>
      </c>
    </row>
    <row r="55" spans="1:4" x14ac:dyDescent="0.3">
      <c r="A55" s="3" t="s">
        <v>160</v>
      </c>
      <c r="B55" s="4">
        <v>11933</v>
      </c>
      <c r="C55" s="1">
        <v>153</v>
      </c>
    </row>
    <row r="56" spans="1:4" x14ac:dyDescent="0.3">
      <c r="A56" s="3" t="s">
        <v>161</v>
      </c>
      <c r="B56" s="4">
        <v>11963</v>
      </c>
      <c r="C56" s="1">
        <v>154</v>
      </c>
    </row>
    <row r="57" spans="1:4" x14ac:dyDescent="0.3">
      <c r="A57" s="3" t="s">
        <v>162</v>
      </c>
      <c r="B57" s="4">
        <v>11994</v>
      </c>
      <c r="C57" s="1">
        <v>155</v>
      </c>
    </row>
    <row r="58" spans="1:4" x14ac:dyDescent="0.3">
      <c r="A58" s="3" t="s">
        <v>163</v>
      </c>
      <c r="B58" s="4">
        <v>12024</v>
      </c>
      <c r="C58" s="1">
        <v>156</v>
      </c>
    </row>
    <row r="59" spans="1:4" x14ac:dyDescent="0.3">
      <c r="A59" s="3" t="s">
        <v>164</v>
      </c>
      <c r="B59" s="4">
        <v>12055</v>
      </c>
      <c r="C59" s="1">
        <v>157</v>
      </c>
    </row>
    <row r="60" spans="1:4" x14ac:dyDescent="0.3">
      <c r="A60" s="3" t="s">
        <v>165</v>
      </c>
      <c r="B60" s="4">
        <v>12086</v>
      </c>
      <c r="C60" s="1">
        <v>158</v>
      </c>
    </row>
    <row r="61" spans="1:4" x14ac:dyDescent="0.3">
      <c r="A61" s="3" t="s">
        <v>166</v>
      </c>
      <c r="B61" s="4">
        <v>12114</v>
      </c>
      <c r="C61" s="1">
        <v>159</v>
      </c>
    </row>
    <row r="62" spans="1:4" x14ac:dyDescent="0.3">
      <c r="A62" s="3" t="s">
        <v>167</v>
      </c>
      <c r="B62" s="4">
        <v>12145</v>
      </c>
      <c r="C62" s="1">
        <v>160</v>
      </c>
    </row>
    <row r="63" spans="1:4" x14ac:dyDescent="0.3">
      <c r="A63" s="3" t="s">
        <v>168</v>
      </c>
      <c r="B63" s="4">
        <v>12175</v>
      </c>
      <c r="C63" s="1">
        <v>161</v>
      </c>
    </row>
    <row r="64" spans="1:4" x14ac:dyDescent="0.3">
      <c r="A64" s="3" t="s">
        <v>169</v>
      </c>
      <c r="B64" s="4">
        <v>12206</v>
      </c>
      <c r="C64" s="1">
        <v>162</v>
      </c>
    </row>
    <row r="65" spans="1:3" x14ac:dyDescent="0.3">
      <c r="A65" s="3" t="s">
        <v>170</v>
      </c>
      <c r="B65" s="4">
        <v>12236</v>
      </c>
      <c r="C65" s="1">
        <v>163</v>
      </c>
    </row>
    <row r="66" spans="1:3" x14ac:dyDescent="0.3">
      <c r="A66" s="3" t="s">
        <v>171</v>
      </c>
      <c r="B66" s="4">
        <v>12267</v>
      </c>
      <c r="C66" s="1">
        <v>164</v>
      </c>
    </row>
    <row r="67" spans="1:3" x14ac:dyDescent="0.3">
      <c r="A67" s="3" t="s">
        <v>172</v>
      </c>
      <c r="B67" s="4">
        <v>12298</v>
      </c>
      <c r="C67" s="1">
        <v>165</v>
      </c>
    </row>
    <row r="68" spans="1:3" x14ac:dyDescent="0.3">
      <c r="A68" s="3" t="s">
        <v>173</v>
      </c>
      <c r="B68" s="4">
        <v>12328</v>
      </c>
      <c r="C68" s="1">
        <v>166</v>
      </c>
    </row>
    <row r="69" spans="1:3" x14ac:dyDescent="0.3">
      <c r="A69" s="3" t="s">
        <v>174</v>
      </c>
      <c r="B69" s="4">
        <v>12359</v>
      </c>
      <c r="C69" s="1">
        <v>167</v>
      </c>
    </row>
    <row r="70" spans="1:3" x14ac:dyDescent="0.3">
      <c r="A70" s="3" t="s">
        <v>175</v>
      </c>
      <c r="B70" s="4">
        <v>12389</v>
      </c>
      <c r="C70" s="1">
        <v>168</v>
      </c>
    </row>
    <row r="71" spans="1:3" x14ac:dyDescent="0.3">
      <c r="A71" s="3" t="s">
        <v>176</v>
      </c>
      <c r="B71" s="4">
        <v>12420</v>
      </c>
      <c r="C71" s="1">
        <v>169</v>
      </c>
    </row>
    <row r="72" spans="1:3" x14ac:dyDescent="0.3">
      <c r="A72" s="3" t="s">
        <v>177</v>
      </c>
      <c r="B72" s="4">
        <v>12451</v>
      </c>
      <c r="C72" s="1">
        <v>170</v>
      </c>
    </row>
    <row r="73" spans="1:3" x14ac:dyDescent="0.3">
      <c r="A73" s="3" t="s">
        <v>178</v>
      </c>
      <c r="B73" s="4">
        <v>12479</v>
      </c>
      <c r="C73" s="1">
        <v>171</v>
      </c>
    </row>
    <row r="74" spans="1:3" x14ac:dyDescent="0.3">
      <c r="A74" s="3" t="s">
        <v>179</v>
      </c>
      <c r="B74" s="4">
        <v>12510</v>
      </c>
      <c r="C74" s="1">
        <v>172</v>
      </c>
    </row>
    <row r="75" spans="1:3" x14ac:dyDescent="0.3">
      <c r="A75" s="3" t="s">
        <v>180</v>
      </c>
      <c r="B75" s="4">
        <v>12540</v>
      </c>
      <c r="C75" s="1">
        <v>173</v>
      </c>
    </row>
    <row r="76" spans="1:3" x14ac:dyDescent="0.3">
      <c r="A76" s="3" t="s">
        <v>181</v>
      </c>
      <c r="B76" s="4">
        <v>12571</v>
      </c>
      <c r="C76" s="1">
        <v>174</v>
      </c>
    </row>
    <row r="77" spans="1:3" x14ac:dyDescent="0.3">
      <c r="A77" s="3" t="s">
        <v>182</v>
      </c>
      <c r="B77" s="4">
        <v>12601</v>
      </c>
      <c r="C77" s="1">
        <v>175</v>
      </c>
    </row>
    <row r="78" spans="1:3" x14ac:dyDescent="0.3">
      <c r="A78" s="3" t="s">
        <v>183</v>
      </c>
      <c r="B78" s="4">
        <v>12632</v>
      </c>
      <c r="C78" s="1">
        <v>176</v>
      </c>
    </row>
    <row r="79" spans="1:3" x14ac:dyDescent="0.3">
      <c r="A79" s="3" t="s">
        <v>184</v>
      </c>
      <c r="B79" s="4">
        <v>12663</v>
      </c>
      <c r="C79" s="1">
        <v>177</v>
      </c>
    </row>
    <row r="80" spans="1:3" x14ac:dyDescent="0.3">
      <c r="A80" s="3" t="s">
        <v>185</v>
      </c>
      <c r="B80" s="4">
        <v>12693</v>
      </c>
      <c r="C80" s="1">
        <v>178</v>
      </c>
    </row>
    <row r="81" spans="1:3" x14ac:dyDescent="0.3">
      <c r="A81" s="3" t="s">
        <v>186</v>
      </c>
      <c r="B81" s="4">
        <v>12724</v>
      </c>
      <c r="C81" s="1">
        <v>179</v>
      </c>
    </row>
    <row r="82" spans="1:3" x14ac:dyDescent="0.3">
      <c r="A82" s="3" t="s">
        <v>187</v>
      </c>
      <c r="B82" s="4">
        <v>12754</v>
      </c>
      <c r="C82" s="1">
        <v>180</v>
      </c>
    </row>
    <row r="83" spans="1:3" x14ac:dyDescent="0.3">
      <c r="A83" s="3" t="s">
        <v>188</v>
      </c>
      <c r="B83" s="4">
        <v>12785</v>
      </c>
      <c r="C83" s="1">
        <v>181</v>
      </c>
    </row>
    <row r="84" spans="1:3" x14ac:dyDescent="0.3">
      <c r="A84" s="3" t="s">
        <v>189</v>
      </c>
      <c r="B84" s="4">
        <v>12816</v>
      </c>
      <c r="C84" s="1">
        <v>182</v>
      </c>
    </row>
    <row r="85" spans="1:3" x14ac:dyDescent="0.3">
      <c r="A85" s="3" t="s">
        <v>190</v>
      </c>
      <c r="B85" s="4">
        <v>12844</v>
      </c>
      <c r="C85" s="1">
        <v>183</v>
      </c>
    </row>
    <row r="86" spans="1:3" x14ac:dyDescent="0.3">
      <c r="A86" s="3" t="s">
        <v>191</v>
      </c>
      <c r="B86" s="4">
        <v>12875</v>
      </c>
      <c r="C86" s="1">
        <v>184</v>
      </c>
    </row>
    <row r="87" spans="1:3" x14ac:dyDescent="0.3">
      <c r="A87" s="3" t="s">
        <v>192</v>
      </c>
      <c r="B87" s="4">
        <v>12905</v>
      </c>
      <c r="C87" s="1">
        <v>185</v>
      </c>
    </row>
    <row r="88" spans="1:3" x14ac:dyDescent="0.3">
      <c r="A88" s="3" t="s">
        <v>193</v>
      </c>
      <c r="B88" s="4">
        <v>12936</v>
      </c>
      <c r="C88" s="1">
        <v>186</v>
      </c>
    </row>
    <row r="89" spans="1:3" x14ac:dyDescent="0.3">
      <c r="A89" s="3" t="s">
        <v>194</v>
      </c>
      <c r="B89" s="4">
        <v>12966</v>
      </c>
      <c r="C89" s="1">
        <v>187</v>
      </c>
    </row>
    <row r="90" spans="1:3" x14ac:dyDescent="0.3">
      <c r="A90" s="3" t="s">
        <v>195</v>
      </c>
      <c r="B90" s="4">
        <v>12997</v>
      </c>
      <c r="C90" s="1">
        <v>188</v>
      </c>
    </row>
    <row r="91" spans="1:3" x14ac:dyDescent="0.3">
      <c r="A91" s="3" t="s">
        <v>196</v>
      </c>
      <c r="B91" s="4">
        <v>13028</v>
      </c>
      <c r="C91" s="1">
        <v>189</v>
      </c>
    </row>
    <row r="92" spans="1:3" x14ac:dyDescent="0.3">
      <c r="A92" s="3" t="s">
        <v>197</v>
      </c>
      <c r="B92" s="4">
        <v>13058</v>
      </c>
      <c r="C92" s="1">
        <v>190</v>
      </c>
    </row>
    <row r="93" spans="1:3" x14ac:dyDescent="0.3">
      <c r="A93" s="3" t="s">
        <v>198</v>
      </c>
      <c r="B93" s="4">
        <v>13089</v>
      </c>
      <c r="C93" s="1">
        <v>191</v>
      </c>
    </row>
    <row r="94" spans="1:3" x14ac:dyDescent="0.3">
      <c r="A94" s="3" t="s">
        <v>199</v>
      </c>
      <c r="B94" s="4">
        <v>13119</v>
      </c>
      <c r="C94" s="1">
        <v>192</v>
      </c>
    </row>
    <row r="95" spans="1:3" x14ac:dyDescent="0.3">
      <c r="A95" s="3" t="s">
        <v>200</v>
      </c>
      <c r="B95" s="4">
        <v>13150</v>
      </c>
      <c r="C95" s="1">
        <v>193</v>
      </c>
    </row>
    <row r="96" spans="1:3" x14ac:dyDescent="0.3">
      <c r="A96" s="3" t="s">
        <v>201</v>
      </c>
      <c r="B96" s="4">
        <v>13181</v>
      </c>
      <c r="C96" s="1">
        <v>194</v>
      </c>
    </row>
    <row r="97" spans="1:3" x14ac:dyDescent="0.3">
      <c r="A97" s="3" t="s">
        <v>202</v>
      </c>
      <c r="B97" s="4">
        <v>13210</v>
      </c>
      <c r="C97" s="1">
        <v>195</v>
      </c>
    </row>
    <row r="98" spans="1:3" x14ac:dyDescent="0.3">
      <c r="A98" s="3" t="s">
        <v>203</v>
      </c>
      <c r="B98" s="4">
        <v>13241</v>
      </c>
      <c r="C98" s="1">
        <v>196</v>
      </c>
    </row>
    <row r="99" spans="1:3" x14ac:dyDescent="0.3">
      <c r="A99" s="3" t="s">
        <v>204</v>
      </c>
      <c r="B99" s="4">
        <v>13271</v>
      </c>
      <c r="C99" s="1">
        <v>197</v>
      </c>
    </row>
    <row r="100" spans="1:3" x14ac:dyDescent="0.3">
      <c r="A100" s="3" t="s">
        <v>205</v>
      </c>
      <c r="B100" s="4">
        <v>13302</v>
      </c>
      <c r="C100" s="1">
        <v>198</v>
      </c>
    </row>
    <row r="101" spans="1:3" x14ac:dyDescent="0.3">
      <c r="A101" s="3" t="s">
        <v>206</v>
      </c>
      <c r="B101" s="4">
        <v>13332</v>
      </c>
      <c r="C101" s="1">
        <v>199</v>
      </c>
    </row>
    <row r="102" spans="1:3" x14ac:dyDescent="0.3">
      <c r="A102" s="3" t="s">
        <v>207</v>
      </c>
      <c r="B102" s="4">
        <v>13363</v>
      </c>
      <c r="C102" s="1">
        <v>200</v>
      </c>
    </row>
    <row r="103" spans="1:3" x14ac:dyDescent="0.3">
      <c r="A103" s="3" t="s">
        <v>208</v>
      </c>
      <c r="B103" s="4">
        <v>13394</v>
      </c>
      <c r="C103" s="1">
        <v>201</v>
      </c>
    </row>
    <row r="104" spans="1:3" x14ac:dyDescent="0.3">
      <c r="A104" s="3" t="s">
        <v>209</v>
      </c>
      <c r="B104" s="4">
        <v>13424</v>
      </c>
      <c r="C104" s="1">
        <v>202</v>
      </c>
    </row>
    <row r="105" spans="1:3" x14ac:dyDescent="0.3">
      <c r="A105" s="3" t="s">
        <v>210</v>
      </c>
      <c r="B105" s="4">
        <v>13455</v>
      </c>
      <c r="C105" s="1">
        <v>203</v>
      </c>
    </row>
    <row r="106" spans="1:3" x14ac:dyDescent="0.3">
      <c r="A106" s="3" t="s">
        <v>211</v>
      </c>
      <c r="B106" s="4">
        <v>13485</v>
      </c>
      <c r="C106" s="1">
        <v>204</v>
      </c>
    </row>
    <row r="107" spans="1:3" x14ac:dyDescent="0.3">
      <c r="A107" s="3" t="s">
        <v>212</v>
      </c>
      <c r="B107" s="4">
        <v>13516</v>
      </c>
      <c r="C107" s="1">
        <v>205</v>
      </c>
    </row>
    <row r="108" spans="1:3" x14ac:dyDescent="0.3">
      <c r="A108" s="3" t="s">
        <v>213</v>
      </c>
      <c r="B108" s="4">
        <v>13547</v>
      </c>
      <c r="C108" s="1">
        <v>206</v>
      </c>
    </row>
    <row r="109" spans="1:3" x14ac:dyDescent="0.3">
      <c r="A109" s="3" t="s">
        <v>214</v>
      </c>
      <c r="B109" s="4">
        <v>13575</v>
      </c>
      <c r="C109" s="1">
        <v>207</v>
      </c>
    </row>
    <row r="110" spans="1:3" x14ac:dyDescent="0.3">
      <c r="A110" s="3" t="s">
        <v>215</v>
      </c>
      <c r="B110" s="4">
        <v>13606</v>
      </c>
      <c r="C110" s="1">
        <v>208</v>
      </c>
    </row>
    <row r="111" spans="1:3" x14ac:dyDescent="0.3">
      <c r="A111" s="3" t="s">
        <v>216</v>
      </c>
      <c r="B111" s="4">
        <v>13636</v>
      </c>
      <c r="C111" s="1">
        <v>209</v>
      </c>
    </row>
    <row r="112" spans="1:3" x14ac:dyDescent="0.3">
      <c r="A112" s="3" t="s">
        <v>217</v>
      </c>
      <c r="B112" s="4">
        <v>13667</v>
      </c>
      <c r="C112" s="1">
        <v>210</v>
      </c>
    </row>
    <row r="113" spans="1:3" x14ac:dyDescent="0.3">
      <c r="A113" s="3" t="s">
        <v>218</v>
      </c>
      <c r="B113" s="4">
        <v>13697</v>
      </c>
      <c r="C113" s="1">
        <v>211</v>
      </c>
    </row>
    <row r="114" spans="1:3" x14ac:dyDescent="0.3">
      <c r="A114" s="3" t="s">
        <v>219</v>
      </c>
      <c r="B114" s="4">
        <v>13728</v>
      </c>
      <c r="C114" s="1">
        <v>212</v>
      </c>
    </row>
    <row r="115" spans="1:3" x14ac:dyDescent="0.3">
      <c r="A115" s="3" t="s">
        <v>220</v>
      </c>
      <c r="B115" s="4">
        <v>13759</v>
      </c>
      <c r="C115" s="1">
        <v>213</v>
      </c>
    </row>
    <row r="116" spans="1:3" x14ac:dyDescent="0.3">
      <c r="A116" s="3" t="s">
        <v>221</v>
      </c>
      <c r="B116" s="4">
        <v>13789</v>
      </c>
      <c r="C116" s="1">
        <v>214</v>
      </c>
    </row>
    <row r="117" spans="1:3" x14ac:dyDescent="0.3">
      <c r="A117" s="3" t="s">
        <v>222</v>
      </c>
      <c r="B117" s="4">
        <v>13820</v>
      </c>
      <c r="C117" s="1">
        <v>215</v>
      </c>
    </row>
    <row r="118" spans="1:3" x14ac:dyDescent="0.3">
      <c r="A118" s="3" t="s">
        <v>223</v>
      </c>
      <c r="B118" s="4">
        <v>13850</v>
      </c>
      <c r="C118" s="1">
        <v>216</v>
      </c>
    </row>
    <row r="119" spans="1:3" x14ac:dyDescent="0.3">
      <c r="A119" s="3" t="s">
        <v>224</v>
      </c>
      <c r="B119" s="4">
        <v>13881</v>
      </c>
      <c r="C119" s="1">
        <v>217</v>
      </c>
    </row>
    <row r="120" spans="1:3" x14ac:dyDescent="0.3">
      <c r="A120" s="3" t="s">
        <v>225</v>
      </c>
      <c r="B120" s="4">
        <v>13912</v>
      </c>
      <c r="C120" s="1">
        <v>218</v>
      </c>
    </row>
    <row r="121" spans="1:3" x14ac:dyDescent="0.3">
      <c r="A121" s="3" t="s">
        <v>226</v>
      </c>
      <c r="B121" s="4">
        <v>13940</v>
      </c>
      <c r="C121" s="1">
        <v>219</v>
      </c>
    </row>
    <row r="122" spans="1:3" x14ac:dyDescent="0.3">
      <c r="A122" s="3" t="s">
        <v>227</v>
      </c>
      <c r="B122" s="4">
        <v>13971</v>
      </c>
      <c r="C122" s="1">
        <v>220</v>
      </c>
    </row>
    <row r="123" spans="1:3" x14ac:dyDescent="0.3">
      <c r="A123" s="3" t="s">
        <v>228</v>
      </c>
      <c r="B123" s="4">
        <v>14001</v>
      </c>
      <c r="C123" s="1">
        <v>221</v>
      </c>
    </row>
    <row r="124" spans="1:3" x14ac:dyDescent="0.3">
      <c r="A124" s="3" t="s">
        <v>229</v>
      </c>
      <c r="B124" s="4">
        <v>14032</v>
      </c>
      <c r="C124" s="1">
        <v>222</v>
      </c>
    </row>
    <row r="125" spans="1:3" x14ac:dyDescent="0.3">
      <c r="A125" s="3" t="s">
        <v>230</v>
      </c>
      <c r="B125" s="4">
        <v>14062</v>
      </c>
      <c r="C125" s="1">
        <v>223</v>
      </c>
    </row>
    <row r="126" spans="1:3" x14ac:dyDescent="0.3">
      <c r="A126" s="3" t="s">
        <v>231</v>
      </c>
      <c r="B126" s="4">
        <v>14093</v>
      </c>
      <c r="C126" s="1">
        <v>224</v>
      </c>
    </row>
    <row r="127" spans="1:3" x14ac:dyDescent="0.3">
      <c r="A127" s="3" t="s">
        <v>232</v>
      </c>
      <c r="B127" s="4">
        <v>14124</v>
      </c>
      <c r="C127" s="1">
        <v>225</v>
      </c>
    </row>
    <row r="128" spans="1:3" x14ac:dyDescent="0.3">
      <c r="A128" s="3" t="s">
        <v>233</v>
      </c>
      <c r="B128" s="4">
        <v>14154</v>
      </c>
      <c r="C128" s="1">
        <v>226</v>
      </c>
    </row>
    <row r="129" spans="1:3" x14ac:dyDescent="0.3">
      <c r="A129" s="3" t="s">
        <v>234</v>
      </c>
      <c r="B129" s="4">
        <v>14185</v>
      </c>
      <c r="C129" s="1">
        <v>227</v>
      </c>
    </row>
    <row r="130" spans="1:3" x14ac:dyDescent="0.3">
      <c r="A130" s="3" t="s">
        <v>235</v>
      </c>
      <c r="B130" s="4">
        <v>14215</v>
      </c>
      <c r="C130" s="1">
        <v>228</v>
      </c>
    </row>
    <row r="131" spans="1:3" x14ac:dyDescent="0.3">
      <c r="A131" s="3" t="s">
        <v>236</v>
      </c>
      <c r="B131" s="4">
        <v>14246</v>
      </c>
      <c r="C131" s="1">
        <v>229</v>
      </c>
    </row>
    <row r="132" spans="1:3" x14ac:dyDescent="0.3">
      <c r="A132" s="3" t="s">
        <v>237</v>
      </c>
      <c r="B132" s="4">
        <v>14277</v>
      </c>
      <c r="C132" s="1">
        <v>230</v>
      </c>
    </row>
    <row r="133" spans="1:3" x14ac:dyDescent="0.3">
      <c r="A133" s="3" t="s">
        <v>238</v>
      </c>
      <c r="B133" s="4">
        <v>14305</v>
      </c>
      <c r="C133" s="1">
        <v>231</v>
      </c>
    </row>
    <row r="134" spans="1:3" x14ac:dyDescent="0.3">
      <c r="A134" s="3" t="s">
        <v>239</v>
      </c>
      <c r="B134" s="4">
        <v>14336</v>
      </c>
      <c r="C134" s="1">
        <v>232</v>
      </c>
    </row>
    <row r="135" spans="1:3" x14ac:dyDescent="0.3">
      <c r="A135" s="3" t="s">
        <v>240</v>
      </c>
      <c r="B135" s="4">
        <v>14366</v>
      </c>
      <c r="C135" s="1">
        <v>233</v>
      </c>
    </row>
    <row r="136" spans="1:3" x14ac:dyDescent="0.3">
      <c r="A136" s="3" t="s">
        <v>241</v>
      </c>
      <c r="B136" s="4">
        <v>14397</v>
      </c>
      <c r="C136" s="1">
        <v>234</v>
      </c>
    </row>
    <row r="137" spans="1:3" x14ac:dyDescent="0.3">
      <c r="A137" s="3" t="s">
        <v>242</v>
      </c>
      <c r="B137" s="4">
        <v>14427</v>
      </c>
      <c r="C137" s="1">
        <v>235</v>
      </c>
    </row>
    <row r="138" spans="1:3" x14ac:dyDescent="0.3">
      <c r="A138" s="3" t="s">
        <v>243</v>
      </c>
      <c r="B138" s="4">
        <v>14458</v>
      </c>
      <c r="C138" s="1">
        <v>236</v>
      </c>
    </row>
    <row r="139" spans="1:3" x14ac:dyDescent="0.3">
      <c r="A139" s="3" t="s">
        <v>244</v>
      </c>
      <c r="B139" s="4">
        <v>14489</v>
      </c>
      <c r="C139" s="1">
        <v>237</v>
      </c>
    </row>
    <row r="140" spans="1:3" x14ac:dyDescent="0.3">
      <c r="A140" s="3" t="s">
        <v>245</v>
      </c>
      <c r="B140" s="4">
        <v>14519</v>
      </c>
      <c r="C140" s="1">
        <v>238</v>
      </c>
    </row>
    <row r="141" spans="1:3" x14ac:dyDescent="0.3">
      <c r="A141" s="3" t="s">
        <v>246</v>
      </c>
      <c r="B141" s="4">
        <v>14550</v>
      </c>
      <c r="C141" s="1">
        <v>239</v>
      </c>
    </row>
    <row r="142" spans="1:3" x14ac:dyDescent="0.3">
      <c r="A142" s="3" t="s">
        <v>247</v>
      </c>
      <c r="B142" s="4">
        <v>14580</v>
      </c>
      <c r="C142" s="1">
        <v>240</v>
      </c>
    </row>
  </sheetData>
  <mergeCells count="2">
    <mergeCell ref="S1:W5"/>
    <mergeCell ref="J1:N4"/>
  </mergeCell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589e27f4-f72b-4897-889b-b78b796d5f6b" xsi:nil="true"/>
    <lcf76f155ced4ddcb4097134ff3c332f xmlns="a54a83b2-29f8-45f8-8196-8412dabac147">
      <Terms xmlns="http://schemas.microsoft.com/office/infopath/2007/PartnerControls"/>
    </lcf76f155ced4ddcb4097134ff3c332f>
    <TaxKeywordTaxHTField xmlns="589e27f4-f72b-4897-889b-b78b796d5f6b">
      <Terms xmlns="http://schemas.microsoft.com/office/infopath/2007/PartnerControls"/>
    </TaxKeywordTaxHTField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1B760EC12AD74590C16631EC08CF52" ma:contentTypeVersion="23" ma:contentTypeDescription="Create a new document." ma:contentTypeScope="" ma:versionID="1166b5bd3e7fe001b0bbd237a00c70a4">
  <xsd:schema xmlns:xsd="http://www.w3.org/2001/XMLSchema" xmlns:xs="http://www.w3.org/2001/XMLSchema" xmlns:p="http://schemas.microsoft.com/office/2006/metadata/properties" xmlns:ns1="http://schemas.microsoft.com/sharepoint/v3" xmlns:ns2="589e27f4-f72b-4897-889b-b78b796d5f6b" xmlns:ns3="a54a83b2-29f8-45f8-8196-8412dabac147" targetNamespace="http://schemas.microsoft.com/office/2006/metadata/properties" ma:root="true" ma:fieldsID="937b0f976ed43f012c5a376007e98050" ns1:_="" ns2:_="" ns3:_="">
    <xsd:import namespace="http://schemas.microsoft.com/sharepoint/v3"/>
    <xsd:import namespace="589e27f4-f72b-4897-889b-b78b796d5f6b"/>
    <xsd:import namespace="a54a83b2-29f8-45f8-8196-8412dabac14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2:TaxKeywordTaxHTField" minOccurs="0"/>
                <xsd:element ref="ns2:TaxCatchAll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1:_ip_UnifiedCompliancePolicyProperties" minOccurs="0"/>
                <xsd:element ref="ns1:_ip_UnifiedCompliancePolicyUIAction" minOccurs="0"/>
                <xsd:element ref="ns3:MediaLengthInSeconds" minOccurs="0"/>
                <xsd:element ref="ns3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9e27f4-f72b-4897-889b-b78b796d5f6b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KeywordTaxHTField" ma:index="17" nillable="true" ma:taxonomy="true" ma:internalName="TaxKeywordTaxHTField" ma:taxonomyFieldName="TaxKeyword" ma:displayName="Enterprise Keywords" ma:fieldId="{23f27201-bee3-471e-b2e7-b64fd8b7ca38}" ma:taxonomyMulti="true" ma:sspId="e3c020bd-11df-41b8-83ee-43f9e7b211d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8" nillable="true" ma:displayName="Taxonomy Catch All Column" ma:hidden="true" ma:list="{62305f9e-dc34-43a5-8f94-89b4765f0696}" ma:internalName="TaxCatchAll" ma:showField="CatchAllData" ma:web="589e27f4-f72b-4897-889b-b78b796d5f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4a83b2-29f8-45f8-8196-8412dabac14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2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LengthInSeconds" ma:index="25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7" nillable="true" ma:taxonomy="true" ma:internalName="lcf76f155ced4ddcb4097134ff3c332f" ma:taxonomyFieldName="MediaServiceImageTags" ma:displayName="Image Tags" ma:readOnly="false" ma:fieldId="{5cf76f15-5ced-4ddc-b409-7134ff3c332f}" ma:taxonomyMulti="true" ma:sspId="e3c020bd-11df-41b8-83ee-43f9e7b211d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1F69E9D-3547-436E-837C-1D35672C8B4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1326E9E-11F0-4473-A6CC-74AE235461CF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589e27f4-f72b-4897-889b-b78b796d5f6b"/>
    <ds:schemaRef ds:uri="a54a83b2-29f8-45f8-8196-8412dabac147"/>
  </ds:schemaRefs>
</ds:datastoreItem>
</file>

<file path=customXml/itemProps3.xml><?xml version="1.0" encoding="utf-8"?>
<ds:datastoreItem xmlns:ds="http://schemas.openxmlformats.org/officeDocument/2006/customXml" ds:itemID="{BC74F363-0508-45D4-8190-28218629562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589e27f4-f72b-4897-889b-b78b796d5f6b"/>
    <ds:schemaRef ds:uri="a54a83b2-29f8-45f8-8196-8412dabac14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Tutor demo</vt:lpstr>
      <vt:lpstr>Lab 1_Working with statistics</vt:lpstr>
      <vt:lpstr>Lab 1_Optional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Darshana</dc:creator>
  <cp:keywords/>
  <dc:description/>
  <cp:lastModifiedBy>Marjan Yazdani</cp:lastModifiedBy>
  <cp:revision/>
  <dcterms:created xsi:type="dcterms:W3CDTF">2018-10-01T18:06:47Z</dcterms:created>
  <dcterms:modified xsi:type="dcterms:W3CDTF">2023-05-26T19:09:24Z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0x010100B81B760EC12AD74590C16631EC08CF52</vt:lpwstr>
  </property>
  <property fmtid="{D5CDD505-2E9C-101B-9397-08002B2CF9AE}" pid="3" name="MSIP_Label_084814fa-f907-4bd7-b6bf-0a4e04300d59_Enabled">
    <vt:lpwstr>true</vt:lpwstr>
  </property>
  <property fmtid="{D5CDD505-2E9C-101B-9397-08002B2CF9AE}" pid="4" name="MSIP_Label_084814fa-f907-4bd7-b6bf-0a4e04300d59_SetDate">
    <vt:lpwstr>2022-06-14T12:43:38Z</vt:lpwstr>
  </property>
  <property fmtid="{D5CDD505-2E9C-101B-9397-08002B2CF9AE}" pid="5" name="MSIP_Label_084814fa-f907-4bd7-b6bf-0a4e04300d59_Method">
    <vt:lpwstr>Standard</vt:lpwstr>
  </property>
  <property fmtid="{D5CDD505-2E9C-101B-9397-08002B2CF9AE}" pid="6" name="MSIP_Label_084814fa-f907-4bd7-b6bf-0a4e04300d59_Name">
    <vt:lpwstr>AVADO Internal</vt:lpwstr>
  </property>
  <property fmtid="{D5CDD505-2E9C-101B-9397-08002B2CF9AE}" pid="7" name="MSIP_Label_084814fa-f907-4bd7-b6bf-0a4e04300d59_SiteId">
    <vt:lpwstr>0d1f8d9c-a66b-4161-b75b-11b19ddddc12</vt:lpwstr>
  </property>
  <property fmtid="{D5CDD505-2E9C-101B-9397-08002B2CF9AE}" pid="8" name="MSIP_Label_084814fa-f907-4bd7-b6bf-0a4e04300d59_ActionId">
    <vt:lpwstr>ad7c79a6-f9cc-49c8-9b06-afc3965639c3</vt:lpwstr>
  </property>
  <property fmtid="{D5CDD505-2E9C-101B-9397-08002B2CF9AE}" pid="9" name="MSIP_Label_084814fa-f907-4bd7-b6bf-0a4e04300d59_ContentBits">
    <vt:lpwstr>0</vt:lpwstr>
  </property>
  <property fmtid="{D5CDD505-2E9C-101B-9397-08002B2CF9AE}" pid="10" name="MediaServiceImageTags">
    <vt:lpwstr/>
  </property>
  <property fmtid="{D5CDD505-2E9C-101B-9397-08002B2CF9AE}" pid="11" name="TaxKeyword">
    <vt:lpwstr/>
  </property>
</Properties>
</file>