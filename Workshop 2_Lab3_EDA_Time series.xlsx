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7eaa967dc99ece/Desktop/Data Analyst Advanced course/"/>
    </mc:Choice>
  </mc:AlternateContent>
  <xr:revisionPtr revIDLastSave="319" documentId="13_ncr:1_{32962EC9-DDFD-4406-AF14-264CBFDADD64}" xr6:coauthVersionLast="47" xr6:coauthVersionMax="47" xr10:uidLastSave="{9BEA169D-E848-42E6-A9B6-8C67FD142AD1}"/>
  <bookViews>
    <workbookView xWindow="-108" yWindow="-108" windowWidth="23256" windowHeight="12456" activeTab="2" xr2:uid="{00000000-000D-0000-FFFF-FFFF00000000}"/>
  </bookViews>
  <sheets>
    <sheet name="Lab3_Time series" sheetId="3" r:id="rId1"/>
    <sheet name="Air Passengers" sheetId="1" r:id="rId2"/>
    <sheet name="Optional_Amazon revenue" sheetId="2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6" i="2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4" i="3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</calcChain>
</file>

<file path=xl/sharedStrings.xml><?xml version="1.0" encoding="utf-8"?>
<sst xmlns="http://schemas.openxmlformats.org/spreadsheetml/2006/main" count="399" uniqueCount="392">
  <si>
    <t>Year</t>
  </si>
  <si>
    <t>Time Stamp</t>
  </si>
  <si>
    <t>Time Period Index</t>
  </si>
  <si>
    <t>Nottingham Temperatures</t>
  </si>
  <si>
    <t>Moving Average (MA)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</si>
  <si>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</si>
  <si>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</si>
  <si>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</si>
  <si>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</si>
  <si>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</si>
  <si>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</si>
  <si>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</si>
  <si>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</si>
  <si>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</si>
  <si>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</si>
  <si>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</si>
  <si>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</si>
  <si>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</si>
  <si>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</si>
  <si>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</si>
  <si>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</si>
  <si>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</si>
  <si>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</si>
  <si>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</si>
  <si>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</si>
  <si>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</si>
  <si>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</si>
  <si>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</si>
  <si>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</si>
  <si>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</si>
  <si>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</si>
  <si>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</si>
  <si>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</si>
  <si>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</si>
  <si>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</si>
  <si>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</si>
  <si>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</si>
  <si>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</si>
  <si>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</si>
  <si>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</si>
  <si>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</si>
  <si>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</si>
  <si>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</si>
  <si>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</si>
  <si>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</si>
  <si>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</si>
  <si>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</si>
  <si>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</si>
  <si>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</si>
  <si>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</si>
  <si>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</si>
  <si>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</si>
  <si>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</si>
  <si>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</si>
  <si>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</si>
  <si>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</si>
  <si>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</si>
  <si>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</si>
  <si>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</si>
  <si>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</si>
  <si>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</si>
  <si>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</si>
  <si>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</si>
  <si>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</si>
  <si>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</si>
  <si>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</si>
  <si>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</si>
  <si>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</si>
  <si>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</si>
  <si>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</si>
  <si>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</si>
  <si>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</si>
  <si>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</si>
  <si>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</si>
  <si>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</si>
  <si>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</si>
  <si>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</si>
  <si>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</si>
  <si>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</si>
  <si>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</si>
  <si>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</si>
  <si>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</si>
  <si>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</si>
  <si>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</si>
  <si>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</si>
  <si>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</si>
  <si>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</si>
  <si>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</si>
  <si>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</si>
  <si>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</si>
  <si>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</si>
  <si>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</si>
  <si>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</si>
  <si>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</si>
  <si>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</si>
  <si>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</si>
  <si>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</si>
  <si>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</si>
  <si>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</si>
  <si>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</si>
  <si>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</si>
  <si>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</si>
  <si>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</si>
  <si>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</si>
  <si>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</si>
  <si>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</si>
  <si>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</si>
  <si>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</si>
  <si>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</si>
  <si>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</si>
  <si>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</si>
  <si>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</si>
  <si>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</si>
  <si>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</si>
  <si>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</si>
  <si>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</si>
  <si>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</si>
  <si>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</si>
  <si>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</si>
  <si>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</si>
  <si>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</si>
  <si>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</si>
  <si>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</si>
  <si>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</si>
  <si>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</si>
  <si>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</si>
  <si>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</si>
  <si>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</si>
  <si>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</si>
  <si>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</si>
  <si>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</si>
  <si>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</si>
  <si>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</si>
  <si>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</si>
  <si>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</si>
  <si>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</si>
  <si>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</si>
  <si>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</si>
  <si>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</si>
  <si>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</si>
  <si>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</si>
  <si>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</si>
  <si>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</si>
  <si>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</si>
  <si>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</si>
  <si>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</si>
  <si>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</si>
  <si>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</si>
  <si>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</si>
  <si>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</si>
  <si>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</si>
  <si>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</si>
  <si>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</si>
  <si>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</si>
  <si>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</si>
  <si>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</si>
  <si>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</si>
  <si>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</si>
  <si>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</si>
  <si>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</si>
  <si>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</si>
  <si>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</si>
  <si>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</si>
  <si>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</si>
  <si>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</si>
  <si>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</si>
  <si>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</si>
  <si>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</si>
  <si>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</si>
  <si>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</si>
  <si>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</si>
  <si>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</si>
  <si>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</si>
  <si>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</si>
  <si>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</si>
  <si>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</si>
  <si>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</si>
  <si>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</si>
  <si>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</si>
  <si>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</si>
  <si>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</si>
  <si>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</si>
  <si>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</si>
  <si>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</si>
  <si>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</si>
  <si>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</si>
  <si>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</si>
  <si>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</si>
  <si>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</si>
  <si>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</si>
  <si>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</si>
  <si>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</si>
  <si>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</si>
  <si>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</si>
  <si>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</si>
  <si>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</si>
  <si>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</si>
  <si>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</si>
  <si>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</si>
  <si>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</si>
  <si>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</si>
  <si>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</si>
  <si>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</si>
  <si>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</si>
  <si>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</si>
  <si>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</si>
  <si>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</si>
  <si>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</si>
  <si>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</si>
  <si>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</si>
  <si>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</si>
  <si>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</si>
  <si>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</si>
  <si>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</si>
  <si>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</si>
  <si>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</si>
  <si>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</si>
  <si>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</si>
  <si>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</si>
  <si>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</si>
  <si>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</si>
  <si>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</si>
  <si>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</si>
  <si>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</si>
  <si>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</si>
  <si>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</si>
  <si>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</si>
  <si>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</si>
  <si>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</si>
  <si>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</si>
  <si>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</si>
  <si>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</si>
  <si>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</si>
  <si>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</si>
  <si>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</si>
  <si>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</si>
  <si>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</si>
  <si>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</si>
  <si>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</si>
  <si>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</si>
  <si>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</si>
  <si>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</si>
  <si>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</si>
  <si>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</si>
  <si>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</si>
  <si>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Month</t>
  </si>
  <si>
    <t>Air Passengers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</si>
  <si>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</si>
  <si>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</si>
  <si>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</si>
  <si>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</si>
  <si>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</si>
  <si>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</si>
  <si>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</si>
  <si>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</si>
  <si>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</si>
  <si>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</si>
  <si>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</si>
  <si>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</si>
  <si>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</si>
  <si>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</si>
  <si>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</si>
  <si>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</si>
  <si>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</si>
  <si>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</si>
  <si>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</si>
  <si>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</si>
  <si>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</si>
  <si>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</si>
  <si>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</si>
  <si>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</si>
  <si>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</si>
  <si>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</si>
  <si>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</si>
  <si>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</si>
  <si>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</si>
  <si>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</si>
  <si>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</si>
  <si>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</si>
  <si>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</si>
  <si>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</si>
  <si>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</si>
  <si>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</si>
  <si>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</si>
  <si>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</si>
  <si>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</si>
  <si>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</si>
  <si>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</si>
  <si>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</si>
  <si>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</si>
  <si>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</si>
  <si>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</si>
  <si>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</si>
  <si>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</si>
  <si>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</si>
  <si>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</si>
  <si>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</si>
  <si>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</si>
  <si>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</si>
  <si>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</si>
  <si>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</si>
  <si>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</si>
  <si>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</si>
  <si>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</si>
  <si>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</si>
  <si>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</si>
  <si>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</si>
  <si>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</si>
  <si>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</si>
  <si>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</si>
  <si>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</si>
  <si>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</si>
  <si>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</si>
  <si>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</si>
  <si>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</si>
  <si>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</si>
  <si>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</si>
  <si>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</si>
  <si>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</si>
  <si>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</si>
  <si>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</si>
  <si>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</si>
  <si>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</si>
  <si>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</si>
  <si>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</si>
  <si>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</si>
  <si>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</si>
  <si>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</si>
  <si>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</si>
  <si>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</si>
  <si>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</si>
  <si>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</si>
  <si>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</si>
  <si>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</si>
  <si>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</si>
  <si>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</si>
  <si>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</si>
  <si>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</si>
  <si>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</si>
  <si>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</si>
  <si>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</si>
  <si>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</si>
  <si>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</si>
  <si>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</si>
  <si>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</si>
  <si>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</si>
  <si>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</si>
  <si>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</si>
  <si>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</si>
  <si>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</si>
  <si>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</si>
  <si>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</si>
  <si>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</si>
  <si>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</si>
  <si>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</si>
  <si>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</si>
  <si>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</si>
  <si>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</si>
  <si>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</si>
  <si>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</si>
  <si>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</si>
  <si>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</si>
  <si>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</si>
  <si>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</si>
  <si>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</si>
  <si>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</si>
  <si>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</si>
  <si>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</si>
  <si>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</si>
  <si>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</si>
  <si>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</si>
  <si>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</si>
  <si>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</si>
  <si>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</si>
  <si>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</si>
  <si>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</si>
  <si>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</si>
  <si>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</si>
  <si>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</si>
  <si>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</si>
  <si>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</si>
  <si>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</si>
  <si>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</si>
  <si>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</si>
  <si>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</si>
  <si>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</si>
  <si>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</si>
  <si>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</si>
  <si>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</si>
  <si>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</si>
  <si>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</si>
  <si>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Amazon Revenue In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</si>
</sst>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49" fontId="18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4" fontId="0" fillId="0" borderId="0" xfId="0" applyNumberFormat="1"/>
    <xf numFmtId="0" fontId="18" fillId="0" borderId="0" xfId="0" applyFont="1" applyAlignment="1">
      <alignment horizontal="center" wrapText="1"/>
    </xf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72" fontId="0" fillId="0" borderId="0" xfId="0" applyNumberFormat="1" applyAlignment="1">
      <alignment horizontal="center"/>
    </xf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84474047753567E-2"/>
          <c:y val="0.18832214765100672"/>
          <c:w val="0.903306694709615"/>
          <c:h val="0.71819584632457856"/>
        </c:manualLayout>
      </c:layout>
      <c:lineChart>
        <c:grouping val="standard"/>
        <c:varyColors val="0"/>
        <c:ser>
          <c:idx val="0"/>
          <c:order val="0"/>
          <c:tx>
            <c:strRef>
              <c:f>'Lab3_Time series'!$D$1</c:f>
              <c:strCache>
                <c:ptCount val="1"/>
                <c:pt idx="0">
                  <c:v>Nottingham Temperatures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'Lab3_Time series'!$C$2:$C$241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'Lab3_Time series'!$D$2:$D$241</c:f>
              <c:numCache>
                <c:formatCode>General</c:formatCode>
                <c:ptCount val="240"/>
                <c:pt idx="0">
                  <c:v>40.6</c:v>
                </c:pt>
                <c:pt idx="1">
                  <c:v>40.799999999999997</c:v>
                </c:pt>
                <c:pt idx="2">
                  <c:v>44.4</c:v>
                </c:pt>
                <c:pt idx="3">
                  <c:v>46.7</c:v>
                </c:pt>
                <c:pt idx="4">
                  <c:v>54.1</c:v>
                </c:pt>
                <c:pt idx="5">
                  <c:v>58.5</c:v>
                </c:pt>
                <c:pt idx="6">
                  <c:v>57.7</c:v>
                </c:pt>
                <c:pt idx="7">
                  <c:v>56.4</c:v>
                </c:pt>
                <c:pt idx="8">
                  <c:v>54.3</c:v>
                </c:pt>
                <c:pt idx="9">
                  <c:v>50.5</c:v>
                </c:pt>
                <c:pt idx="10">
                  <c:v>42.9</c:v>
                </c:pt>
                <c:pt idx="11">
                  <c:v>39.799999999999997</c:v>
                </c:pt>
                <c:pt idx="12">
                  <c:v>44.2</c:v>
                </c:pt>
                <c:pt idx="13">
                  <c:v>39.799999999999997</c:v>
                </c:pt>
                <c:pt idx="14">
                  <c:v>45.1</c:v>
                </c:pt>
                <c:pt idx="15">
                  <c:v>47</c:v>
                </c:pt>
                <c:pt idx="16">
                  <c:v>54.1</c:v>
                </c:pt>
                <c:pt idx="17">
                  <c:v>58.7</c:v>
                </c:pt>
                <c:pt idx="18">
                  <c:v>66.3</c:v>
                </c:pt>
                <c:pt idx="19">
                  <c:v>59.9</c:v>
                </c:pt>
                <c:pt idx="20">
                  <c:v>57</c:v>
                </c:pt>
                <c:pt idx="21">
                  <c:v>54.2</c:v>
                </c:pt>
                <c:pt idx="22">
                  <c:v>39.700000000000003</c:v>
                </c:pt>
                <c:pt idx="23">
                  <c:v>42.8</c:v>
                </c:pt>
                <c:pt idx="24">
                  <c:v>37.5</c:v>
                </c:pt>
                <c:pt idx="25">
                  <c:v>38.700000000000003</c:v>
                </c:pt>
                <c:pt idx="26">
                  <c:v>39.5</c:v>
                </c:pt>
                <c:pt idx="27">
                  <c:v>42.1</c:v>
                </c:pt>
                <c:pt idx="28">
                  <c:v>55.7</c:v>
                </c:pt>
                <c:pt idx="29">
                  <c:v>57.8</c:v>
                </c:pt>
                <c:pt idx="30">
                  <c:v>56.8</c:v>
                </c:pt>
                <c:pt idx="31">
                  <c:v>54.3</c:v>
                </c:pt>
                <c:pt idx="32">
                  <c:v>54.3</c:v>
                </c:pt>
                <c:pt idx="33">
                  <c:v>47.1</c:v>
                </c:pt>
                <c:pt idx="34">
                  <c:v>41.8</c:v>
                </c:pt>
                <c:pt idx="35">
                  <c:v>41.7</c:v>
                </c:pt>
                <c:pt idx="36">
                  <c:v>41.8</c:v>
                </c:pt>
                <c:pt idx="37">
                  <c:v>40.1</c:v>
                </c:pt>
                <c:pt idx="38">
                  <c:v>42.9</c:v>
                </c:pt>
                <c:pt idx="39">
                  <c:v>45.8</c:v>
                </c:pt>
                <c:pt idx="40">
                  <c:v>49.2</c:v>
                </c:pt>
                <c:pt idx="41">
                  <c:v>52.7</c:v>
                </c:pt>
                <c:pt idx="42">
                  <c:v>64.2</c:v>
                </c:pt>
                <c:pt idx="43">
                  <c:v>59.6</c:v>
                </c:pt>
                <c:pt idx="44">
                  <c:v>54.4</c:v>
                </c:pt>
                <c:pt idx="45">
                  <c:v>49.2</c:v>
                </c:pt>
                <c:pt idx="46">
                  <c:v>36.299999999999997</c:v>
                </c:pt>
                <c:pt idx="47">
                  <c:v>37.6</c:v>
                </c:pt>
                <c:pt idx="48">
                  <c:v>39.299999999999997</c:v>
                </c:pt>
                <c:pt idx="49">
                  <c:v>37.5</c:v>
                </c:pt>
                <c:pt idx="50">
                  <c:v>38.299999999999997</c:v>
                </c:pt>
                <c:pt idx="51">
                  <c:v>45.5</c:v>
                </c:pt>
                <c:pt idx="52">
                  <c:v>53.2</c:v>
                </c:pt>
                <c:pt idx="53">
                  <c:v>57.7</c:v>
                </c:pt>
                <c:pt idx="54">
                  <c:v>60.8</c:v>
                </c:pt>
                <c:pt idx="55">
                  <c:v>58.2</c:v>
                </c:pt>
                <c:pt idx="56">
                  <c:v>56.4</c:v>
                </c:pt>
                <c:pt idx="57">
                  <c:v>49.8</c:v>
                </c:pt>
                <c:pt idx="58">
                  <c:v>44.4</c:v>
                </c:pt>
                <c:pt idx="59">
                  <c:v>43.6</c:v>
                </c:pt>
                <c:pt idx="60">
                  <c:v>40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45.1</c:v>
                </c:pt>
                <c:pt idx="64">
                  <c:v>53.8</c:v>
                </c:pt>
                <c:pt idx="65">
                  <c:v>59.4</c:v>
                </c:pt>
                <c:pt idx="66">
                  <c:v>63.5</c:v>
                </c:pt>
                <c:pt idx="67">
                  <c:v>61</c:v>
                </c:pt>
                <c:pt idx="68">
                  <c:v>53</c:v>
                </c:pt>
                <c:pt idx="69">
                  <c:v>50</c:v>
                </c:pt>
                <c:pt idx="70">
                  <c:v>38.1</c:v>
                </c:pt>
                <c:pt idx="71">
                  <c:v>36.299999999999997</c:v>
                </c:pt>
                <c:pt idx="72">
                  <c:v>39.200000000000003</c:v>
                </c:pt>
                <c:pt idx="73">
                  <c:v>43.4</c:v>
                </c:pt>
                <c:pt idx="74">
                  <c:v>43.4</c:v>
                </c:pt>
                <c:pt idx="75">
                  <c:v>48.9</c:v>
                </c:pt>
                <c:pt idx="76">
                  <c:v>50.6</c:v>
                </c:pt>
                <c:pt idx="77">
                  <c:v>56.8</c:v>
                </c:pt>
                <c:pt idx="78">
                  <c:v>62.5</c:v>
                </c:pt>
                <c:pt idx="79">
                  <c:v>62</c:v>
                </c:pt>
                <c:pt idx="80">
                  <c:v>57.5</c:v>
                </c:pt>
                <c:pt idx="81">
                  <c:v>46.7</c:v>
                </c:pt>
                <c:pt idx="82">
                  <c:v>41.6</c:v>
                </c:pt>
                <c:pt idx="83">
                  <c:v>39.799999999999997</c:v>
                </c:pt>
                <c:pt idx="84">
                  <c:v>39.4</c:v>
                </c:pt>
                <c:pt idx="85">
                  <c:v>38.5</c:v>
                </c:pt>
                <c:pt idx="86">
                  <c:v>45.3</c:v>
                </c:pt>
                <c:pt idx="87">
                  <c:v>47.1</c:v>
                </c:pt>
                <c:pt idx="88">
                  <c:v>51.7</c:v>
                </c:pt>
                <c:pt idx="89">
                  <c:v>55</c:v>
                </c:pt>
                <c:pt idx="90">
                  <c:v>60.4</c:v>
                </c:pt>
                <c:pt idx="91">
                  <c:v>60.5</c:v>
                </c:pt>
                <c:pt idx="92">
                  <c:v>54.7</c:v>
                </c:pt>
                <c:pt idx="93">
                  <c:v>50.3</c:v>
                </c:pt>
                <c:pt idx="94">
                  <c:v>42.3</c:v>
                </c:pt>
                <c:pt idx="95">
                  <c:v>35.200000000000003</c:v>
                </c:pt>
                <c:pt idx="96">
                  <c:v>40.799999999999997</c:v>
                </c:pt>
                <c:pt idx="97">
                  <c:v>41.1</c:v>
                </c:pt>
                <c:pt idx="98">
                  <c:v>42.8</c:v>
                </c:pt>
                <c:pt idx="99">
                  <c:v>47.3</c:v>
                </c:pt>
                <c:pt idx="100">
                  <c:v>50.9</c:v>
                </c:pt>
                <c:pt idx="101">
                  <c:v>56.4</c:v>
                </c:pt>
                <c:pt idx="102">
                  <c:v>62.2</c:v>
                </c:pt>
                <c:pt idx="103">
                  <c:v>60.5</c:v>
                </c:pt>
                <c:pt idx="104">
                  <c:v>55.4</c:v>
                </c:pt>
                <c:pt idx="105">
                  <c:v>50.2</c:v>
                </c:pt>
                <c:pt idx="106">
                  <c:v>43</c:v>
                </c:pt>
                <c:pt idx="107">
                  <c:v>37.299999999999997</c:v>
                </c:pt>
                <c:pt idx="108">
                  <c:v>34.799999999999997</c:v>
                </c:pt>
                <c:pt idx="109">
                  <c:v>31.3</c:v>
                </c:pt>
                <c:pt idx="110">
                  <c:v>41</c:v>
                </c:pt>
                <c:pt idx="111">
                  <c:v>43.9</c:v>
                </c:pt>
                <c:pt idx="112">
                  <c:v>53.1</c:v>
                </c:pt>
                <c:pt idx="113">
                  <c:v>56.9</c:v>
                </c:pt>
                <c:pt idx="114">
                  <c:v>62.5</c:v>
                </c:pt>
                <c:pt idx="115">
                  <c:v>60.3</c:v>
                </c:pt>
                <c:pt idx="116">
                  <c:v>59.8</c:v>
                </c:pt>
                <c:pt idx="117">
                  <c:v>49.2</c:v>
                </c:pt>
                <c:pt idx="118">
                  <c:v>42.9</c:v>
                </c:pt>
                <c:pt idx="119">
                  <c:v>41.9</c:v>
                </c:pt>
                <c:pt idx="120">
                  <c:v>41.6</c:v>
                </c:pt>
                <c:pt idx="121">
                  <c:v>37.1</c:v>
                </c:pt>
                <c:pt idx="122">
                  <c:v>41.2</c:v>
                </c:pt>
                <c:pt idx="123">
                  <c:v>46.9</c:v>
                </c:pt>
                <c:pt idx="124">
                  <c:v>51.2</c:v>
                </c:pt>
                <c:pt idx="125">
                  <c:v>60.4</c:v>
                </c:pt>
                <c:pt idx="126">
                  <c:v>60.1</c:v>
                </c:pt>
                <c:pt idx="127">
                  <c:v>61.6</c:v>
                </c:pt>
                <c:pt idx="128">
                  <c:v>57</c:v>
                </c:pt>
                <c:pt idx="129">
                  <c:v>50.9</c:v>
                </c:pt>
                <c:pt idx="130">
                  <c:v>43</c:v>
                </c:pt>
                <c:pt idx="131">
                  <c:v>38.799999999999997</c:v>
                </c:pt>
                <c:pt idx="132">
                  <c:v>37.1</c:v>
                </c:pt>
                <c:pt idx="133">
                  <c:v>38.4</c:v>
                </c:pt>
                <c:pt idx="134">
                  <c:v>38.4</c:v>
                </c:pt>
                <c:pt idx="135">
                  <c:v>46.5</c:v>
                </c:pt>
                <c:pt idx="136">
                  <c:v>53.5</c:v>
                </c:pt>
                <c:pt idx="137">
                  <c:v>58.4</c:v>
                </c:pt>
                <c:pt idx="138">
                  <c:v>60.6</c:v>
                </c:pt>
                <c:pt idx="139">
                  <c:v>58.2</c:v>
                </c:pt>
                <c:pt idx="140">
                  <c:v>53.8</c:v>
                </c:pt>
                <c:pt idx="141">
                  <c:v>46.6</c:v>
                </c:pt>
                <c:pt idx="142">
                  <c:v>45.5</c:v>
                </c:pt>
                <c:pt idx="143">
                  <c:v>40.6</c:v>
                </c:pt>
                <c:pt idx="144">
                  <c:v>42.4</c:v>
                </c:pt>
                <c:pt idx="145">
                  <c:v>38.4</c:v>
                </c:pt>
                <c:pt idx="146">
                  <c:v>40.299999999999997</c:v>
                </c:pt>
                <c:pt idx="147">
                  <c:v>44.6</c:v>
                </c:pt>
                <c:pt idx="148">
                  <c:v>50.9</c:v>
                </c:pt>
                <c:pt idx="149">
                  <c:v>57</c:v>
                </c:pt>
                <c:pt idx="150">
                  <c:v>62.1</c:v>
                </c:pt>
                <c:pt idx="151">
                  <c:v>63.5</c:v>
                </c:pt>
                <c:pt idx="152">
                  <c:v>56.3</c:v>
                </c:pt>
                <c:pt idx="153">
                  <c:v>47.3</c:v>
                </c:pt>
                <c:pt idx="154">
                  <c:v>43.6</c:v>
                </c:pt>
                <c:pt idx="155">
                  <c:v>41.8</c:v>
                </c:pt>
                <c:pt idx="156">
                  <c:v>36.200000000000003</c:v>
                </c:pt>
                <c:pt idx="157">
                  <c:v>39.299999999999997</c:v>
                </c:pt>
                <c:pt idx="158">
                  <c:v>44.5</c:v>
                </c:pt>
                <c:pt idx="159">
                  <c:v>48.7</c:v>
                </c:pt>
                <c:pt idx="160">
                  <c:v>54.2</c:v>
                </c:pt>
                <c:pt idx="161">
                  <c:v>60.8</c:v>
                </c:pt>
                <c:pt idx="162">
                  <c:v>65.5</c:v>
                </c:pt>
                <c:pt idx="163">
                  <c:v>64.900000000000006</c:v>
                </c:pt>
                <c:pt idx="164">
                  <c:v>60.1</c:v>
                </c:pt>
                <c:pt idx="165">
                  <c:v>50.2</c:v>
                </c:pt>
                <c:pt idx="166">
                  <c:v>42.1</c:v>
                </c:pt>
                <c:pt idx="167">
                  <c:v>35.799999999999997</c:v>
                </c:pt>
                <c:pt idx="168">
                  <c:v>39.4</c:v>
                </c:pt>
                <c:pt idx="169">
                  <c:v>38.200000000000003</c:v>
                </c:pt>
                <c:pt idx="170">
                  <c:v>40.4</c:v>
                </c:pt>
                <c:pt idx="171">
                  <c:v>46.9</c:v>
                </c:pt>
                <c:pt idx="172">
                  <c:v>53.4</c:v>
                </c:pt>
                <c:pt idx="173">
                  <c:v>59.6</c:v>
                </c:pt>
                <c:pt idx="174">
                  <c:v>66.5</c:v>
                </c:pt>
                <c:pt idx="175">
                  <c:v>60.4</c:v>
                </c:pt>
                <c:pt idx="176">
                  <c:v>59.2</c:v>
                </c:pt>
                <c:pt idx="177">
                  <c:v>51.2</c:v>
                </c:pt>
                <c:pt idx="178">
                  <c:v>42.8</c:v>
                </c:pt>
                <c:pt idx="179">
                  <c:v>45.8</c:v>
                </c:pt>
                <c:pt idx="180">
                  <c:v>40</c:v>
                </c:pt>
                <c:pt idx="181">
                  <c:v>42.6</c:v>
                </c:pt>
                <c:pt idx="182">
                  <c:v>43.5</c:v>
                </c:pt>
                <c:pt idx="183">
                  <c:v>47.1</c:v>
                </c:pt>
                <c:pt idx="184">
                  <c:v>50</c:v>
                </c:pt>
                <c:pt idx="185">
                  <c:v>60.5</c:v>
                </c:pt>
                <c:pt idx="186">
                  <c:v>64.599999999999994</c:v>
                </c:pt>
                <c:pt idx="187">
                  <c:v>64</c:v>
                </c:pt>
                <c:pt idx="188">
                  <c:v>56.8</c:v>
                </c:pt>
                <c:pt idx="189">
                  <c:v>48.6</c:v>
                </c:pt>
                <c:pt idx="190">
                  <c:v>44.2</c:v>
                </c:pt>
                <c:pt idx="191">
                  <c:v>36.4</c:v>
                </c:pt>
                <c:pt idx="192">
                  <c:v>37.299999999999997</c:v>
                </c:pt>
                <c:pt idx="193">
                  <c:v>35</c:v>
                </c:pt>
                <c:pt idx="194">
                  <c:v>44</c:v>
                </c:pt>
                <c:pt idx="195">
                  <c:v>43.9</c:v>
                </c:pt>
                <c:pt idx="196">
                  <c:v>52.7</c:v>
                </c:pt>
                <c:pt idx="197">
                  <c:v>58.6</c:v>
                </c:pt>
                <c:pt idx="198">
                  <c:v>60</c:v>
                </c:pt>
                <c:pt idx="199">
                  <c:v>61.1</c:v>
                </c:pt>
                <c:pt idx="200">
                  <c:v>58.1</c:v>
                </c:pt>
                <c:pt idx="201">
                  <c:v>49.6</c:v>
                </c:pt>
                <c:pt idx="202">
                  <c:v>41.6</c:v>
                </c:pt>
                <c:pt idx="203">
                  <c:v>41.3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38.4</c:v>
                </c:pt>
                <c:pt idx="207">
                  <c:v>47.4</c:v>
                </c:pt>
                <c:pt idx="208">
                  <c:v>54.1</c:v>
                </c:pt>
                <c:pt idx="209">
                  <c:v>58.6</c:v>
                </c:pt>
                <c:pt idx="210">
                  <c:v>61.4</c:v>
                </c:pt>
                <c:pt idx="211">
                  <c:v>61.8</c:v>
                </c:pt>
                <c:pt idx="212">
                  <c:v>56.3</c:v>
                </c:pt>
                <c:pt idx="213">
                  <c:v>50.9</c:v>
                </c:pt>
                <c:pt idx="214">
                  <c:v>41.4</c:v>
                </c:pt>
                <c:pt idx="215">
                  <c:v>37.1</c:v>
                </c:pt>
                <c:pt idx="216">
                  <c:v>42.1</c:v>
                </c:pt>
                <c:pt idx="217">
                  <c:v>41.2</c:v>
                </c:pt>
                <c:pt idx="218">
                  <c:v>47.3</c:v>
                </c:pt>
                <c:pt idx="219">
                  <c:v>46.6</c:v>
                </c:pt>
                <c:pt idx="220">
                  <c:v>52.4</c:v>
                </c:pt>
                <c:pt idx="221">
                  <c:v>59</c:v>
                </c:pt>
                <c:pt idx="222">
                  <c:v>59.6</c:v>
                </c:pt>
                <c:pt idx="223">
                  <c:v>60.4</c:v>
                </c:pt>
                <c:pt idx="224">
                  <c:v>57</c:v>
                </c:pt>
                <c:pt idx="225">
                  <c:v>50.7</c:v>
                </c:pt>
                <c:pt idx="226">
                  <c:v>47.8</c:v>
                </c:pt>
                <c:pt idx="227">
                  <c:v>39.200000000000003</c:v>
                </c:pt>
                <c:pt idx="228">
                  <c:v>39.4</c:v>
                </c:pt>
                <c:pt idx="229">
                  <c:v>40.9</c:v>
                </c:pt>
                <c:pt idx="230">
                  <c:v>42.4</c:v>
                </c:pt>
                <c:pt idx="231">
                  <c:v>47.8</c:v>
                </c:pt>
                <c:pt idx="232">
                  <c:v>52.4</c:v>
                </c:pt>
                <c:pt idx="233">
                  <c:v>58</c:v>
                </c:pt>
                <c:pt idx="234">
                  <c:v>60.7</c:v>
                </c:pt>
                <c:pt idx="235">
                  <c:v>61.8</c:v>
                </c:pt>
                <c:pt idx="236">
                  <c:v>58.2</c:v>
                </c:pt>
                <c:pt idx="237">
                  <c:v>46.7</c:v>
                </c:pt>
                <c:pt idx="238">
                  <c:v>46.6</c:v>
                </c:pt>
                <c:pt idx="239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E-42D6-AC26-183BA0F65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647088"/>
        <c:axId val="563226840"/>
      </c:lineChart>
      <c:catAx>
        <c:axId val="5596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26840"/>
        <c:crosses val="autoZero"/>
        <c:auto val="1"/>
        <c:lblAlgn val="ctr"/>
        <c:lblOffset val="100"/>
        <c:noMultiLvlLbl val="0"/>
      </c:catAx>
      <c:valAx>
        <c:axId val="56322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4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'Lab3_Time series'!$D$1</c:f>
              <c:strCache>
                <c:ptCount val="1"/>
                <c:pt idx="0">
                  <c:v>Nottingham Temperatures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'Lab3_Time series'!$D$2:$D$241</c:f>
              <c:numCache>
                <c:formatCode>General</c:formatCode>
                <c:ptCount val="240"/>
                <c:pt idx="0">
                  <c:v>40.6</c:v>
                </c:pt>
                <c:pt idx="1">
                  <c:v>40.799999999999997</c:v>
                </c:pt>
                <c:pt idx="2">
                  <c:v>44.4</c:v>
                </c:pt>
                <c:pt idx="3">
                  <c:v>46.7</c:v>
                </c:pt>
                <c:pt idx="4">
                  <c:v>54.1</c:v>
                </c:pt>
                <c:pt idx="5">
                  <c:v>58.5</c:v>
                </c:pt>
                <c:pt idx="6">
                  <c:v>57.7</c:v>
                </c:pt>
                <c:pt idx="7">
                  <c:v>56.4</c:v>
                </c:pt>
                <c:pt idx="8">
                  <c:v>54.3</c:v>
                </c:pt>
                <c:pt idx="9">
                  <c:v>50.5</c:v>
                </c:pt>
                <c:pt idx="10">
                  <c:v>42.9</c:v>
                </c:pt>
                <c:pt idx="11">
                  <c:v>39.799999999999997</c:v>
                </c:pt>
                <c:pt idx="12">
                  <c:v>44.2</c:v>
                </c:pt>
                <c:pt idx="13">
                  <c:v>39.799999999999997</c:v>
                </c:pt>
                <c:pt idx="14">
                  <c:v>45.1</c:v>
                </c:pt>
                <c:pt idx="15">
                  <c:v>47</c:v>
                </c:pt>
                <c:pt idx="16">
                  <c:v>54.1</c:v>
                </c:pt>
                <c:pt idx="17">
                  <c:v>58.7</c:v>
                </c:pt>
                <c:pt idx="18">
                  <c:v>66.3</c:v>
                </c:pt>
                <c:pt idx="19">
                  <c:v>59.9</c:v>
                </c:pt>
                <c:pt idx="20">
                  <c:v>57</c:v>
                </c:pt>
                <c:pt idx="21">
                  <c:v>54.2</c:v>
                </c:pt>
                <c:pt idx="22">
                  <c:v>39.700000000000003</c:v>
                </c:pt>
                <c:pt idx="23">
                  <c:v>42.8</c:v>
                </c:pt>
                <c:pt idx="24">
                  <c:v>37.5</c:v>
                </c:pt>
                <c:pt idx="25">
                  <c:v>38.700000000000003</c:v>
                </c:pt>
                <c:pt idx="26">
                  <c:v>39.5</c:v>
                </c:pt>
                <c:pt idx="27">
                  <c:v>42.1</c:v>
                </c:pt>
                <c:pt idx="28">
                  <c:v>55.7</c:v>
                </c:pt>
                <c:pt idx="29">
                  <c:v>57.8</c:v>
                </c:pt>
                <c:pt idx="30">
                  <c:v>56.8</c:v>
                </c:pt>
                <c:pt idx="31">
                  <c:v>54.3</c:v>
                </c:pt>
                <c:pt idx="32">
                  <c:v>54.3</c:v>
                </c:pt>
                <c:pt idx="33">
                  <c:v>47.1</c:v>
                </c:pt>
                <c:pt idx="34">
                  <c:v>41.8</c:v>
                </c:pt>
                <c:pt idx="35">
                  <c:v>41.7</c:v>
                </c:pt>
                <c:pt idx="36">
                  <c:v>41.8</c:v>
                </c:pt>
                <c:pt idx="37">
                  <c:v>40.1</c:v>
                </c:pt>
                <c:pt idx="38">
                  <c:v>42.9</c:v>
                </c:pt>
                <c:pt idx="39">
                  <c:v>45.8</c:v>
                </c:pt>
                <c:pt idx="40">
                  <c:v>49.2</c:v>
                </c:pt>
                <c:pt idx="41">
                  <c:v>52.7</c:v>
                </c:pt>
                <c:pt idx="42">
                  <c:v>64.2</c:v>
                </c:pt>
                <c:pt idx="43">
                  <c:v>59.6</c:v>
                </c:pt>
                <c:pt idx="44">
                  <c:v>54.4</c:v>
                </c:pt>
                <c:pt idx="45">
                  <c:v>49.2</c:v>
                </c:pt>
                <c:pt idx="46">
                  <c:v>36.299999999999997</c:v>
                </c:pt>
                <c:pt idx="47">
                  <c:v>37.6</c:v>
                </c:pt>
                <c:pt idx="48">
                  <c:v>39.299999999999997</c:v>
                </c:pt>
                <c:pt idx="49">
                  <c:v>37.5</c:v>
                </c:pt>
                <c:pt idx="50">
                  <c:v>38.299999999999997</c:v>
                </c:pt>
                <c:pt idx="51">
                  <c:v>45.5</c:v>
                </c:pt>
                <c:pt idx="52">
                  <c:v>53.2</c:v>
                </c:pt>
                <c:pt idx="53">
                  <c:v>57.7</c:v>
                </c:pt>
                <c:pt idx="54">
                  <c:v>60.8</c:v>
                </c:pt>
                <c:pt idx="55">
                  <c:v>58.2</c:v>
                </c:pt>
                <c:pt idx="56">
                  <c:v>56.4</c:v>
                </c:pt>
                <c:pt idx="57">
                  <c:v>49.8</c:v>
                </c:pt>
                <c:pt idx="58">
                  <c:v>44.4</c:v>
                </c:pt>
                <c:pt idx="59">
                  <c:v>43.6</c:v>
                </c:pt>
                <c:pt idx="60">
                  <c:v>40</c:v>
                </c:pt>
                <c:pt idx="61">
                  <c:v>40.5</c:v>
                </c:pt>
                <c:pt idx="62">
                  <c:v>40.799999999999997</c:v>
                </c:pt>
                <c:pt idx="63">
                  <c:v>45.1</c:v>
                </c:pt>
                <c:pt idx="64">
                  <c:v>53.8</c:v>
                </c:pt>
                <c:pt idx="65">
                  <c:v>59.4</c:v>
                </c:pt>
                <c:pt idx="66">
                  <c:v>63.5</c:v>
                </c:pt>
                <c:pt idx="67">
                  <c:v>61</c:v>
                </c:pt>
                <c:pt idx="68">
                  <c:v>53</c:v>
                </c:pt>
                <c:pt idx="69">
                  <c:v>50</c:v>
                </c:pt>
                <c:pt idx="70">
                  <c:v>38.1</c:v>
                </c:pt>
                <c:pt idx="71">
                  <c:v>36.299999999999997</c:v>
                </c:pt>
                <c:pt idx="72">
                  <c:v>39.200000000000003</c:v>
                </c:pt>
                <c:pt idx="73">
                  <c:v>43.4</c:v>
                </c:pt>
                <c:pt idx="74">
                  <c:v>43.4</c:v>
                </c:pt>
                <c:pt idx="75">
                  <c:v>48.9</c:v>
                </c:pt>
                <c:pt idx="76">
                  <c:v>50.6</c:v>
                </c:pt>
                <c:pt idx="77">
                  <c:v>56.8</c:v>
                </c:pt>
                <c:pt idx="78">
                  <c:v>62.5</c:v>
                </c:pt>
                <c:pt idx="79">
                  <c:v>62</c:v>
                </c:pt>
                <c:pt idx="80">
                  <c:v>57.5</c:v>
                </c:pt>
                <c:pt idx="81">
                  <c:v>46.7</c:v>
                </c:pt>
                <c:pt idx="82">
                  <c:v>41.6</c:v>
                </c:pt>
                <c:pt idx="83">
                  <c:v>39.799999999999997</c:v>
                </c:pt>
                <c:pt idx="84">
                  <c:v>39.4</c:v>
                </c:pt>
                <c:pt idx="85">
                  <c:v>38.5</c:v>
                </c:pt>
                <c:pt idx="86">
                  <c:v>45.3</c:v>
                </c:pt>
                <c:pt idx="87">
                  <c:v>47.1</c:v>
                </c:pt>
                <c:pt idx="88">
                  <c:v>51.7</c:v>
                </c:pt>
                <c:pt idx="89">
                  <c:v>55</c:v>
                </c:pt>
                <c:pt idx="90">
                  <c:v>60.4</c:v>
                </c:pt>
                <c:pt idx="91">
                  <c:v>60.5</c:v>
                </c:pt>
                <c:pt idx="92">
                  <c:v>54.7</c:v>
                </c:pt>
                <c:pt idx="93">
                  <c:v>50.3</c:v>
                </c:pt>
                <c:pt idx="94">
                  <c:v>42.3</c:v>
                </c:pt>
                <c:pt idx="95">
                  <c:v>35.200000000000003</c:v>
                </c:pt>
                <c:pt idx="96">
                  <c:v>40.799999999999997</c:v>
                </c:pt>
                <c:pt idx="97">
                  <c:v>41.1</c:v>
                </c:pt>
                <c:pt idx="98">
                  <c:v>42.8</c:v>
                </c:pt>
                <c:pt idx="99">
                  <c:v>47.3</c:v>
                </c:pt>
                <c:pt idx="100">
                  <c:v>50.9</c:v>
                </c:pt>
                <c:pt idx="101">
                  <c:v>56.4</c:v>
                </c:pt>
                <c:pt idx="102">
                  <c:v>62.2</c:v>
                </c:pt>
                <c:pt idx="103">
                  <c:v>60.5</c:v>
                </c:pt>
                <c:pt idx="104">
                  <c:v>55.4</c:v>
                </c:pt>
                <c:pt idx="105">
                  <c:v>50.2</c:v>
                </c:pt>
                <c:pt idx="106">
                  <c:v>43</c:v>
                </c:pt>
                <c:pt idx="107">
                  <c:v>37.299999999999997</c:v>
                </c:pt>
                <c:pt idx="108">
                  <c:v>34.799999999999997</c:v>
                </c:pt>
                <c:pt idx="109">
                  <c:v>31.3</c:v>
                </c:pt>
                <c:pt idx="110">
                  <c:v>41</c:v>
                </c:pt>
                <c:pt idx="111">
                  <c:v>43.9</c:v>
                </c:pt>
                <c:pt idx="112">
                  <c:v>53.1</c:v>
                </c:pt>
                <c:pt idx="113">
                  <c:v>56.9</c:v>
                </c:pt>
                <c:pt idx="114">
                  <c:v>62.5</c:v>
                </c:pt>
                <c:pt idx="115">
                  <c:v>60.3</c:v>
                </c:pt>
                <c:pt idx="116">
                  <c:v>59.8</c:v>
                </c:pt>
                <c:pt idx="117">
                  <c:v>49.2</c:v>
                </c:pt>
                <c:pt idx="118">
                  <c:v>42.9</c:v>
                </c:pt>
                <c:pt idx="119">
                  <c:v>41.9</c:v>
                </c:pt>
                <c:pt idx="120">
                  <c:v>41.6</c:v>
                </c:pt>
                <c:pt idx="121">
                  <c:v>37.1</c:v>
                </c:pt>
                <c:pt idx="122">
                  <c:v>41.2</c:v>
                </c:pt>
                <c:pt idx="123">
                  <c:v>46.9</c:v>
                </c:pt>
                <c:pt idx="124">
                  <c:v>51.2</c:v>
                </c:pt>
                <c:pt idx="125">
                  <c:v>60.4</c:v>
                </c:pt>
                <c:pt idx="126">
                  <c:v>60.1</c:v>
                </c:pt>
                <c:pt idx="127">
                  <c:v>61.6</c:v>
                </c:pt>
                <c:pt idx="128">
                  <c:v>57</c:v>
                </c:pt>
                <c:pt idx="129">
                  <c:v>50.9</c:v>
                </c:pt>
                <c:pt idx="130">
                  <c:v>43</c:v>
                </c:pt>
                <c:pt idx="131">
                  <c:v>38.799999999999997</c:v>
                </c:pt>
                <c:pt idx="132">
                  <c:v>37.1</c:v>
                </c:pt>
                <c:pt idx="133">
                  <c:v>38.4</c:v>
                </c:pt>
                <c:pt idx="134">
                  <c:v>38.4</c:v>
                </c:pt>
                <c:pt idx="135">
                  <c:v>46.5</c:v>
                </c:pt>
                <c:pt idx="136">
                  <c:v>53.5</c:v>
                </c:pt>
                <c:pt idx="137">
                  <c:v>58.4</c:v>
                </c:pt>
                <c:pt idx="138">
                  <c:v>60.6</c:v>
                </c:pt>
                <c:pt idx="139">
                  <c:v>58.2</c:v>
                </c:pt>
                <c:pt idx="140">
                  <c:v>53.8</c:v>
                </c:pt>
                <c:pt idx="141">
                  <c:v>46.6</c:v>
                </c:pt>
                <c:pt idx="142">
                  <c:v>45.5</c:v>
                </c:pt>
                <c:pt idx="143">
                  <c:v>40.6</c:v>
                </c:pt>
                <c:pt idx="144">
                  <c:v>42.4</c:v>
                </c:pt>
                <c:pt idx="145">
                  <c:v>38.4</c:v>
                </c:pt>
                <c:pt idx="146">
                  <c:v>40.299999999999997</c:v>
                </c:pt>
                <c:pt idx="147">
                  <c:v>44.6</c:v>
                </c:pt>
                <c:pt idx="148">
                  <c:v>50.9</c:v>
                </c:pt>
                <c:pt idx="149">
                  <c:v>57</c:v>
                </c:pt>
                <c:pt idx="150">
                  <c:v>62.1</c:v>
                </c:pt>
                <c:pt idx="151">
                  <c:v>63.5</c:v>
                </c:pt>
                <c:pt idx="152">
                  <c:v>56.3</c:v>
                </c:pt>
                <c:pt idx="153">
                  <c:v>47.3</c:v>
                </c:pt>
                <c:pt idx="154">
                  <c:v>43.6</c:v>
                </c:pt>
                <c:pt idx="155">
                  <c:v>41.8</c:v>
                </c:pt>
                <c:pt idx="156">
                  <c:v>36.200000000000003</c:v>
                </c:pt>
                <c:pt idx="157">
                  <c:v>39.299999999999997</c:v>
                </c:pt>
                <c:pt idx="158">
                  <c:v>44.5</c:v>
                </c:pt>
                <c:pt idx="159">
                  <c:v>48.7</c:v>
                </c:pt>
                <c:pt idx="160">
                  <c:v>54.2</c:v>
                </c:pt>
                <c:pt idx="161">
                  <c:v>60.8</c:v>
                </c:pt>
                <c:pt idx="162">
                  <c:v>65.5</c:v>
                </c:pt>
                <c:pt idx="163">
                  <c:v>64.900000000000006</c:v>
                </c:pt>
                <c:pt idx="164">
                  <c:v>60.1</c:v>
                </c:pt>
                <c:pt idx="165">
                  <c:v>50.2</c:v>
                </c:pt>
                <c:pt idx="166">
                  <c:v>42.1</c:v>
                </c:pt>
                <c:pt idx="167">
                  <c:v>35.799999999999997</c:v>
                </c:pt>
                <c:pt idx="168">
                  <c:v>39.4</c:v>
                </c:pt>
                <c:pt idx="169">
                  <c:v>38.200000000000003</c:v>
                </c:pt>
                <c:pt idx="170">
                  <c:v>40.4</c:v>
                </c:pt>
                <c:pt idx="171">
                  <c:v>46.9</c:v>
                </c:pt>
                <c:pt idx="172">
                  <c:v>53.4</c:v>
                </c:pt>
                <c:pt idx="173">
                  <c:v>59.6</c:v>
                </c:pt>
                <c:pt idx="174">
                  <c:v>66.5</c:v>
                </c:pt>
                <c:pt idx="175">
                  <c:v>60.4</c:v>
                </c:pt>
                <c:pt idx="176">
                  <c:v>59.2</c:v>
                </c:pt>
                <c:pt idx="177">
                  <c:v>51.2</c:v>
                </c:pt>
                <c:pt idx="178">
                  <c:v>42.8</c:v>
                </c:pt>
                <c:pt idx="179">
                  <c:v>45.8</c:v>
                </c:pt>
                <c:pt idx="180">
                  <c:v>40</c:v>
                </c:pt>
                <c:pt idx="181">
                  <c:v>42.6</c:v>
                </c:pt>
                <c:pt idx="182">
                  <c:v>43.5</c:v>
                </c:pt>
                <c:pt idx="183">
                  <c:v>47.1</c:v>
                </c:pt>
                <c:pt idx="184">
                  <c:v>50</c:v>
                </c:pt>
                <c:pt idx="185">
                  <c:v>60.5</c:v>
                </c:pt>
                <c:pt idx="186">
                  <c:v>64.599999999999994</c:v>
                </c:pt>
                <c:pt idx="187">
                  <c:v>64</c:v>
                </c:pt>
                <c:pt idx="188">
                  <c:v>56.8</c:v>
                </c:pt>
                <c:pt idx="189">
                  <c:v>48.6</c:v>
                </c:pt>
                <c:pt idx="190">
                  <c:v>44.2</c:v>
                </c:pt>
                <c:pt idx="191">
                  <c:v>36.4</c:v>
                </c:pt>
                <c:pt idx="192">
                  <c:v>37.299999999999997</c:v>
                </c:pt>
                <c:pt idx="193">
                  <c:v>35</c:v>
                </c:pt>
                <c:pt idx="194">
                  <c:v>44</c:v>
                </c:pt>
                <c:pt idx="195">
                  <c:v>43.9</c:v>
                </c:pt>
                <c:pt idx="196">
                  <c:v>52.7</c:v>
                </c:pt>
                <c:pt idx="197">
                  <c:v>58.6</c:v>
                </c:pt>
                <c:pt idx="198">
                  <c:v>60</c:v>
                </c:pt>
                <c:pt idx="199">
                  <c:v>61.1</c:v>
                </c:pt>
                <c:pt idx="200">
                  <c:v>58.1</c:v>
                </c:pt>
                <c:pt idx="201">
                  <c:v>49.6</c:v>
                </c:pt>
                <c:pt idx="202">
                  <c:v>41.6</c:v>
                </c:pt>
                <c:pt idx="203">
                  <c:v>41.3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38.4</c:v>
                </c:pt>
                <c:pt idx="207">
                  <c:v>47.4</c:v>
                </c:pt>
                <c:pt idx="208">
                  <c:v>54.1</c:v>
                </c:pt>
                <c:pt idx="209">
                  <c:v>58.6</c:v>
                </c:pt>
                <c:pt idx="210">
                  <c:v>61.4</c:v>
                </c:pt>
                <c:pt idx="211">
                  <c:v>61.8</c:v>
                </c:pt>
                <c:pt idx="212">
                  <c:v>56.3</c:v>
                </c:pt>
                <c:pt idx="213">
                  <c:v>50.9</c:v>
                </c:pt>
                <c:pt idx="214">
                  <c:v>41.4</c:v>
                </c:pt>
                <c:pt idx="215">
                  <c:v>37.1</c:v>
                </c:pt>
                <c:pt idx="216">
                  <c:v>42.1</c:v>
                </c:pt>
                <c:pt idx="217">
                  <c:v>41.2</c:v>
                </c:pt>
                <c:pt idx="218">
                  <c:v>47.3</c:v>
                </c:pt>
                <c:pt idx="219">
                  <c:v>46.6</c:v>
                </c:pt>
                <c:pt idx="220">
                  <c:v>52.4</c:v>
                </c:pt>
                <c:pt idx="221">
                  <c:v>59</c:v>
                </c:pt>
                <c:pt idx="222">
                  <c:v>59.6</c:v>
                </c:pt>
                <c:pt idx="223">
                  <c:v>60.4</c:v>
                </c:pt>
                <c:pt idx="224">
                  <c:v>57</c:v>
                </c:pt>
                <c:pt idx="225">
                  <c:v>50.7</c:v>
                </c:pt>
                <c:pt idx="226">
                  <c:v>47.8</c:v>
                </c:pt>
                <c:pt idx="227">
                  <c:v>39.200000000000003</c:v>
                </c:pt>
                <c:pt idx="228">
                  <c:v>39.4</c:v>
                </c:pt>
                <c:pt idx="229">
                  <c:v>40.9</c:v>
                </c:pt>
                <c:pt idx="230">
                  <c:v>42.4</c:v>
                </c:pt>
                <c:pt idx="231">
                  <c:v>47.8</c:v>
                </c:pt>
                <c:pt idx="232">
                  <c:v>52.4</c:v>
                </c:pt>
                <c:pt idx="233">
                  <c:v>58</c:v>
                </c:pt>
                <c:pt idx="234">
                  <c:v>60.7</c:v>
                </c:pt>
                <c:pt idx="235">
                  <c:v>61.8</c:v>
                </c:pt>
                <c:pt idx="236">
                  <c:v>58.2</c:v>
                </c:pt>
                <c:pt idx="237">
                  <c:v>46.7</c:v>
                </c:pt>
                <c:pt idx="238">
                  <c:v>46.6</c:v>
                </c:pt>
                <c:pt idx="239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3-40EE-89A1-7A2381AC16A5}"/>
            </c:ext>
          </c:extLst>
        </c:ser>
        <c:ser>
          <c:idx val="1"/>
          <c:order val="1"/>
          <c:tx>
            <c:strRef>
              <c:f>'Lab3_Time series'!$E$1</c:f>
              <c:strCache>
                <c:ptCount val="1"/>
                <c:pt idx="0">
                  <c:v>Moving Average (MA)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'Lab3_Time series'!$E$2:$E$241</c:f>
              <c:numCache>
                <c:formatCode>General</c:formatCode>
                <c:ptCount val="240"/>
                <c:pt idx="2" formatCode="0.0">
                  <c:v>41.933333333333337</c:v>
                </c:pt>
                <c:pt idx="3" formatCode="0.0">
                  <c:v>43.966666666666661</c:v>
                </c:pt>
                <c:pt idx="4" formatCode="0.0">
                  <c:v>48.4</c:v>
                </c:pt>
                <c:pt idx="5" formatCode="0.0">
                  <c:v>53.1</c:v>
                </c:pt>
                <c:pt idx="6" formatCode="0.0">
                  <c:v>56.766666666666673</c:v>
                </c:pt>
                <c:pt idx="7" formatCode="0.0">
                  <c:v>57.533333333333331</c:v>
                </c:pt>
                <c:pt idx="8" formatCode="0.0">
                  <c:v>56.133333333333326</c:v>
                </c:pt>
                <c:pt idx="9" formatCode="0.0">
                  <c:v>53.733333333333327</c:v>
                </c:pt>
                <c:pt idx="10" formatCode="0.0">
                  <c:v>49.233333333333327</c:v>
                </c:pt>
                <c:pt idx="11" formatCode="0.0">
                  <c:v>44.4</c:v>
                </c:pt>
                <c:pt idx="12" formatCode="0.0">
                  <c:v>42.3</c:v>
                </c:pt>
                <c:pt idx="13" formatCode="0.0">
                  <c:v>41.266666666666666</c:v>
                </c:pt>
                <c:pt idx="14" formatCode="0.0">
                  <c:v>43.033333333333331</c:v>
                </c:pt>
                <c:pt idx="15" formatCode="0.0">
                  <c:v>43.966666666666669</c:v>
                </c:pt>
                <c:pt idx="16" formatCode="0.0">
                  <c:v>48.733333333333327</c:v>
                </c:pt>
                <c:pt idx="17" formatCode="0.0">
                  <c:v>53.266666666666673</c:v>
                </c:pt>
                <c:pt idx="18" formatCode="0.0">
                  <c:v>59.70000000000001</c:v>
                </c:pt>
                <c:pt idx="19" formatCode="0.0">
                  <c:v>61.633333333333333</c:v>
                </c:pt>
                <c:pt idx="20" formatCode="0.0">
                  <c:v>61.066666666666663</c:v>
                </c:pt>
                <c:pt idx="21" formatCode="0.0">
                  <c:v>57.033333333333339</c:v>
                </c:pt>
                <c:pt idx="22" formatCode="0.0">
                  <c:v>50.300000000000004</c:v>
                </c:pt>
                <c:pt idx="23" formatCode="0.0">
                  <c:v>45.566666666666663</c:v>
                </c:pt>
                <c:pt idx="24" formatCode="0.0">
                  <c:v>40</c:v>
                </c:pt>
                <c:pt idx="25" formatCode="0.0">
                  <c:v>39.666666666666664</c:v>
                </c:pt>
                <c:pt idx="26" formatCode="0.0">
                  <c:v>38.56666666666667</c:v>
                </c:pt>
                <c:pt idx="27" formatCode="0.0">
                  <c:v>40.1</c:v>
                </c:pt>
                <c:pt idx="28" formatCode="0.0">
                  <c:v>45.766666666666673</c:v>
                </c:pt>
                <c:pt idx="29" formatCode="0.0">
                  <c:v>51.866666666666674</c:v>
                </c:pt>
                <c:pt idx="30" formatCode="0.0">
                  <c:v>56.766666666666673</c:v>
                </c:pt>
                <c:pt idx="31" formatCode="0.0">
                  <c:v>56.29999999999999</c:v>
                </c:pt>
                <c:pt idx="32" formatCode="0.0">
                  <c:v>55.133333333333326</c:v>
                </c:pt>
                <c:pt idx="33" formatCode="0.0">
                  <c:v>51.9</c:v>
                </c:pt>
                <c:pt idx="34" formatCode="0.0">
                  <c:v>47.733333333333327</c:v>
                </c:pt>
                <c:pt idx="35" formatCode="0.0">
                  <c:v>43.533333333333339</c:v>
                </c:pt>
                <c:pt idx="36" formatCode="0.0">
                  <c:v>41.766666666666666</c:v>
                </c:pt>
                <c:pt idx="37" formatCode="0.0">
                  <c:v>41.199999999999996</c:v>
                </c:pt>
                <c:pt idx="38" formatCode="0.0">
                  <c:v>41.6</c:v>
                </c:pt>
                <c:pt idx="39" formatCode="0.0">
                  <c:v>42.933333333333337</c:v>
                </c:pt>
                <c:pt idx="40" formatCode="0.0">
                  <c:v>45.966666666666661</c:v>
                </c:pt>
                <c:pt idx="41" formatCode="0.0">
                  <c:v>49.233333333333327</c:v>
                </c:pt>
                <c:pt idx="42" formatCode="0.0">
                  <c:v>55.366666666666674</c:v>
                </c:pt>
                <c:pt idx="43" formatCode="0.0">
                  <c:v>58.833333333333336</c:v>
                </c:pt>
                <c:pt idx="44" formatCode="0.0">
                  <c:v>59.400000000000006</c:v>
                </c:pt>
                <c:pt idx="45" formatCode="0.0">
                  <c:v>54.4</c:v>
                </c:pt>
                <c:pt idx="46" formatCode="0.0">
                  <c:v>46.633333333333326</c:v>
                </c:pt>
                <c:pt idx="47" formatCode="0.0">
                  <c:v>41.033333333333331</c:v>
                </c:pt>
                <c:pt idx="48" formatCode="0.0">
                  <c:v>37.733333333333334</c:v>
                </c:pt>
                <c:pt idx="49" formatCode="0.0">
                  <c:v>38.133333333333333</c:v>
                </c:pt>
                <c:pt idx="50" formatCode="0.0">
                  <c:v>38.366666666666667</c:v>
                </c:pt>
                <c:pt idx="51" formatCode="0.0">
                  <c:v>40.43333333333333</c:v>
                </c:pt>
                <c:pt idx="52" formatCode="0.0">
                  <c:v>45.666666666666664</c:v>
                </c:pt>
                <c:pt idx="53" formatCode="0.0">
                  <c:v>52.133333333333333</c:v>
                </c:pt>
                <c:pt idx="54" formatCode="0.0">
                  <c:v>57.233333333333327</c:v>
                </c:pt>
                <c:pt idx="55" formatCode="0.0">
                  <c:v>58.9</c:v>
                </c:pt>
                <c:pt idx="56" formatCode="0.0">
                  <c:v>58.466666666666669</c:v>
                </c:pt>
                <c:pt idx="57" formatCode="0.0">
                  <c:v>54.79999999999999</c:v>
                </c:pt>
                <c:pt idx="58" formatCode="0.0">
                  <c:v>50.199999999999996</c:v>
                </c:pt>
                <c:pt idx="59" formatCode="0.0">
                  <c:v>45.93333333333333</c:v>
                </c:pt>
                <c:pt idx="60" formatCode="0.0">
                  <c:v>42.666666666666664</c:v>
                </c:pt>
                <c:pt idx="61" formatCode="0.0">
                  <c:v>41.366666666666667</c:v>
                </c:pt>
                <c:pt idx="62" formatCode="0.0">
                  <c:v>40.43333333333333</c:v>
                </c:pt>
                <c:pt idx="63" formatCode="0.0">
                  <c:v>42.133333333333333</c:v>
                </c:pt>
                <c:pt idx="64" formatCode="0.0">
                  <c:v>46.566666666666663</c:v>
                </c:pt>
                <c:pt idx="65" formatCode="0.0">
                  <c:v>52.766666666666673</c:v>
                </c:pt>
                <c:pt idx="66" formatCode="0.0">
                  <c:v>58.9</c:v>
                </c:pt>
                <c:pt idx="67" formatCode="0.0">
                  <c:v>61.300000000000004</c:v>
                </c:pt>
                <c:pt idx="68" formatCode="0.0">
                  <c:v>59.166666666666664</c:v>
                </c:pt>
                <c:pt idx="69" formatCode="0.0">
                  <c:v>54.666666666666664</c:v>
                </c:pt>
                <c:pt idx="70" formatCode="0.0">
                  <c:v>47.033333333333331</c:v>
                </c:pt>
                <c:pt idx="71" formatCode="0.0">
                  <c:v>41.466666666666661</c:v>
                </c:pt>
                <c:pt idx="72" formatCode="0.0">
                  <c:v>37.866666666666667</c:v>
                </c:pt>
                <c:pt idx="73" formatCode="0.0">
                  <c:v>39.633333333333333</c:v>
                </c:pt>
                <c:pt idx="74" formatCode="0.0">
                  <c:v>42</c:v>
                </c:pt>
                <c:pt idx="75" formatCode="0.0">
                  <c:v>45.233333333333327</c:v>
                </c:pt>
                <c:pt idx="76" formatCode="0.0">
                  <c:v>47.633333333333333</c:v>
                </c:pt>
                <c:pt idx="77" formatCode="0.0">
                  <c:v>52.1</c:v>
                </c:pt>
                <c:pt idx="78" formatCode="0.0">
                  <c:v>56.633333333333333</c:v>
                </c:pt>
                <c:pt idx="79" formatCode="0.0">
                  <c:v>60.433333333333337</c:v>
                </c:pt>
                <c:pt idx="80" formatCode="0.0">
                  <c:v>60.666666666666664</c:v>
                </c:pt>
                <c:pt idx="81" formatCode="0.0">
                  <c:v>55.4</c:v>
                </c:pt>
                <c:pt idx="82" formatCode="0.0">
                  <c:v>48.6</c:v>
                </c:pt>
                <c:pt idx="83" formatCode="0.0">
                  <c:v>42.70000000000001</c:v>
                </c:pt>
                <c:pt idx="84" formatCode="0.0">
                  <c:v>40.266666666666673</c:v>
                </c:pt>
                <c:pt idx="85" formatCode="0.0">
                  <c:v>39.233333333333327</c:v>
                </c:pt>
                <c:pt idx="86" formatCode="0.0">
                  <c:v>41.06666666666667</c:v>
                </c:pt>
                <c:pt idx="87" formatCode="0.0">
                  <c:v>43.633333333333333</c:v>
                </c:pt>
                <c:pt idx="88" formatCode="0.0">
                  <c:v>48.033333333333339</c:v>
                </c:pt>
                <c:pt idx="89" formatCode="0.0">
                  <c:v>51.266666666666673</c:v>
                </c:pt>
                <c:pt idx="90" formatCode="0.0">
                  <c:v>55.699999999999996</c:v>
                </c:pt>
                <c:pt idx="91" formatCode="0.0">
                  <c:v>58.633333333333333</c:v>
                </c:pt>
                <c:pt idx="92" formatCode="0.0">
                  <c:v>58.533333333333339</c:v>
                </c:pt>
                <c:pt idx="93" formatCode="0.0">
                  <c:v>55.166666666666664</c:v>
                </c:pt>
                <c:pt idx="94" formatCode="0.0">
                  <c:v>49.1</c:v>
                </c:pt>
                <c:pt idx="95" formatCode="0.0">
                  <c:v>42.6</c:v>
                </c:pt>
                <c:pt idx="96" formatCode="0.0">
                  <c:v>39.43333333333333</c:v>
                </c:pt>
                <c:pt idx="97" formatCode="0.0">
                  <c:v>39.033333333333331</c:v>
                </c:pt>
                <c:pt idx="98" formatCode="0.0">
                  <c:v>41.56666666666667</c:v>
                </c:pt>
                <c:pt idx="99" formatCode="0.0">
                  <c:v>43.733333333333327</c:v>
                </c:pt>
                <c:pt idx="100" formatCode="0.0">
                  <c:v>47</c:v>
                </c:pt>
                <c:pt idx="101" formatCode="0.0">
                  <c:v>51.533333333333331</c:v>
                </c:pt>
                <c:pt idx="102" formatCode="0.0">
                  <c:v>56.5</c:v>
                </c:pt>
                <c:pt idx="103" formatCode="0.0">
                  <c:v>59.699999999999996</c:v>
                </c:pt>
                <c:pt idx="104" formatCode="0.0">
                  <c:v>59.366666666666667</c:v>
                </c:pt>
                <c:pt idx="105" formatCode="0.0">
                  <c:v>55.366666666666674</c:v>
                </c:pt>
                <c:pt idx="106" formatCode="0.0">
                  <c:v>49.533333333333331</c:v>
                </c:pt>
                <c:pt idx="107" formatCode="0.0">
                  <c:v>43.5</c:v>
                </c:pt>
                <c:pt idx="108" formatCode="0.0">
                  <c:v>38.366666666666667</c:v>
                </c:pt>
                <c:pt idx="109" formatCode="0.0">
                  <c:v>34.466666666666661</c:v>
                </c:pt>
                <c:pt idx="110" formatCode="0.0">
                  <c:v>35.699999999999996</c:v>
                </c:pt>
                <c:pt idx="111" formatCode="0.0">
                  <c:v>38.733333333333327</c:v>
                </c:pt>
                <c:pt idx="112" formatCode="0.0">
                  <c:v>46</c:v>
                </c:pt>
                <c:pt idx="113" formatCode="0.0">
                  <c:v>51.300000000000004</c:v>
                </c:pt>
                <c:pt idx="114" formatCode="0.0">
                  <c:v>57.5</c:v>
                </c:pt>
                <c:pt idx="115" formatCode="0.0">
                  <c:v>59.9</c:v>
                </c:pt>
                <c:pt idx="116" formatCode="0.0">
                  <c:v>60.866666666666667</c:v>
                </c:pt>
                <c:pt idx="117" formatCode="0.0">
                  <c:v>56.433333333333337</c:v>
                </c:pt>
                <c:pt idx="118" formatCode="0.0">
                  <c:v>50.633333333333333</c:v>
                </c:pt>
                <c:pt idx="119" formatCode="0.0">
                  <c:v>44.666666666666664</c:v>
                </c:pt>
                <c:pt idx="120" formatCode="0.0">
                  <c:v>42.133333333333333</c:v>
                </c:pt>
                <c:pt idx="121" formatCode="0.0">
                  <c:v>40.199999999999996</c:v>
                </c:pt>
                <c:pt idx="122" formatCode="0.0">
                  <c:v>39.966666666666669</c:v>
                </c:pt>
                <c:pt idx="123" formatCode="0.0">
                  <c:v>41.733333333333341</c:v>
                </c:pt>
                <c:pt idx="124" formatCode="0.0">
                  <c:v>46.433333333333337</c:v>
                </c:pt>
                <c:pt idx="125" formatCode="0.0">
                  <c:v>52.833333333333336</c:v>
                </c:pt>
                <c:pt idx="126" formatCode="0.0">
                  <c:v>57.233333333333327</c:v>
                </c:pt>
                <c:pt idx="127" formatCode="0.0">
                  <c:v>60.699999999999996</c:v>
                </c:pt>
                <c:pt idx="128" formatCode="0.0">
                  <c:v>59.566666666666663</c:v>
                </c:pt>
                <c:pt idx="129" formatCode="0.0">
                  <c:v>56.5</c:v>
                </c:pt>
                <c:pt idx="130" formatCode="0.0">
                  <c:v>50.300000000000004</c:v>
                </c:pt>
                <c:pt idx="131" formatCode="0.0">
                  <c:v>44.233333333333327</c:v>
                </c:pt>
                <c:pt idx="132" formatCode="0.0">
                  <c:v>39.633333333333333</c:v>
                </c:pt>
                <c:pt idx="133" formatCode="0.0">
                  <c:v>38.1</c:v>
                </c:pt>
                <c:pt idx="134" formatCode="0.0">
                  <c:v>37.966666666666669</c:v>
                </c:pt>
                <c:pt idx="135" formatCode="0.0">
                  <c:v>41.1</c:v>
                </c:pt>
                <c:pt idx="136" formatCode="0.0">
                  <c:v>46.133333333333333</c:v>
                </c:pt>
                <c:pt idx="137" formatCode="0.0">
                  <c:v>52.800000000000004</c:v>
                </c:pt>
                <c:pt idx="138" formatCode="0.0">
                  <c:v>57.5</c:v>
                </c:pt>
                <c:pt idx="139" formatCode="0.0">
                  <c:v>59.066666666666663</c:v>
                </c:pt>
                <c:pt idx="140" formatCode="0.0">
                  <c:v>57.533333333333339</c:v>
                </c:pt>
                <c:pt idx="141" formatCode="0.0">
                  <c:v>52.866666666666667</c:v>
                </c:pt>
                <c:pt idx="142" formatCode="0.0">
                  <c:v>48.633333333333333</c:v>
                </c:pt>
                <c:pt idx="143" formatCode="0.0">
                  <c:v>44.233333333333327</c:v>
                </c:pt>
                <c:pt idx="144" formatCode="0.0">
                  <c:v>42.833333333333336</c:v>
                </c:pt>
                <c:pt idx="145" formatCode="0.0">
                  <c:v>40.466666666666669</c:v>
                </c:pt>
                <c:pt idx="146" formatCode="0.0">
                  <c:v>40.366666666666667</c:v>
                </c:pt>
                <c:pt idx="147" formatCode="0.0">
                  <c:v>41.099999999999994</c:v>
                </c:pt>
                <c:pt idx="148" formatCode="0.0">
                  <c:v>45.266666666666673</c:v>
                </c:pt>
                <c:pt idx="149" formatCode="0.0">
                  <c:v>50.833333333333336</c:v>
                </c:pt>
                <c:pt idx="150" formatCode="0.0">
                  <c:v>56.666666666666664</c:v>
                </c:pt>
                <c:pt idx="151" formatCode="0.0">
                  <c:v>60.866666666666667</c:v>
                </c:pt>
                <c:pt idx="152" formatCode="0.0">
                  <c:v>60.633333333333326</c:v>
                </c:pt>
                <c:pt idx="153" formatCode="0.0">
                  <c:v>55.699999999999996</c:v>
                </c:pt>
                <c:pt idx="154" formatCode="0.0">
                  <c:v>49.066666666666663</c:v>
                </c:pt>
                <c:pt idx="155" formatCode="0.0">
                  <c:v>44.233333333333327</c:v>
                </c:pt>
                <c:pt idx="156" formatCode="0.0">
                  <c:v>40.533333333333339</c:v>
                </c:pt>
                <c:pt idx="157" formatCode="0.0">
                  <c:v>39.1</c:v>
                </c:pt>
                <c:pt idx="158" formatCode="0.0">
                  <c:v>40</c:v>
                </c:pt>
                <c:pt idx="159" formatCode="0.0">
                  <c:v>44.166666666666664</c:v>
                </c:pt>
                <c:pt idx="160" formatCode="0.0">
                  <c:v>49.133333333333333</c:v>
                </c:pt>
                <c:pt idx="161" formatCode="0.0">
                  <c:v>54.566666666666663</c:v>
                </c:pt>
                <c:pt idx="162" formatCode="0.0">
                  <c:v>60.166666666666664</c:v>
                </c:pt>
                <c:pt idx="163" formatCode="0.0">
                  <c:v>63.733333333333327</c:v>
                </c:pt>
                <c:pt idx="164" formatCode="0.0">
                  <c:v>63.5</c:v>
                </c:pt>
                <c:pt idx="165" formatCode="0.0">
                  <c:v>58.4</c:v>
                </c:pt>
                <c:pt idx="166" formatCode="0.0">
                  <c:v>50.800000000000004</c:v>
                </c:pt>
                <c:pt idx="167" formatCode="0.0">
                  <c:v>42.70000000000001</c:v>
                </c:pt>
                <c:pt idx="168" formatCode="0.0">
                  <c:v>39.1</c:v>
                </c:pt>
                <c:pt idx="169" formatCode="0.0">
                  <c:v>37.799999999999997</c:v>
                </c:pt>
                <c:pt idx="170" formatCode="0.0">
                  <c:v>39.333333333333336</c:v>
                </c:pt>
                <c:pt idx="171" formatCode="0.0">
                  <c:v>41.833333333333336</c:v>
                </c:pt>
                <c:pt idx="172" formatCode="0.0">
                  <c:v>46.9</c:v>
                </c:pt>
                <c:pt idx="173" formatCode="0.0">
                  <c:v>53.300000000000004</c:v>
                </c:pt>
                <c:pt idx="174" formatCode="0.0">
                  <c:v>59.833333333333336</c:v>
                </c:pt>
                <c:pt idx="175" formatCode="0.0">
                  <c:v>62.166666666666664</c:v>
                </c:pt>
                <c:pt idx="176" formatCode="0.0">
                  <c:v>62.033333333333339</c:v>
                </c:pt>
                <c:pt idx="177" formatCode="0.0">
                  <c:v>56.933333333333337</c:v>
                </c:pt>
                <c:pt idx="178" formatCode="0.0">
                  <c:v>51.066666666666663</c:v>
                </c:pt>
                <c:pt idx="179" formatCode="0.0">
                  <c:v>46.6</c:v>
                </c:pt>
                <c:pt idx="180" formatCode="0.0">
                  <c:v>42.866666666666667</c:v>
                </c:pt>
                <c:pt idx="181" formatCode="0.0">
                  <c:v>42.800000000000004</c:v>
                </c:pt>
                <c:pt idx="182" formatCode="0.0">
                  <c:v>42.033333333333331</c:v>
                </c:pt>
                <c:pt idx="183" formatCode="0.0">
                  <c:v>44.4</c:v>
                </c:pt>
                <c:pt idx="184" formatCode="0.0">
                  <c:v>46.866666666666667</c:v>
                </c:pt>
                <c:pt idx="185" formatCode="0.0">
                  <c:v>52.533333333333331</c:v>
                </c:pt>
                <c:pt idx="186" formatCode="0.0">
                  <c:v>58.366666666666667</c:v>
                </c:pt>
                <c:pt idx="187" formatCode="0.0">
                  <c:v>63.033333333333331</c:v>
                </c:pt>
                <c:pt idx="188" formatCode="0.0">
                  <c:v>61.79999999999999</c:v>
                </c:pt>
                <c:pt idx="189" formatCode="0.0">
                  <c:v>56.466666666666669</c:v>
                </c:pt>
                <c:pt idx="190" formatCode="0.0">
                  <c:v>49.866666666666674</c:v>
                </c:pt>
                <c:pt idx="191" formatCode="0.0">
                  <c:v>43.06666666666667</c:v>
                </c:pt>
                <c:pt idx="192" formatCode="0.0">
                  <c:v>39.299999999999997</c:v>
                </c:pt>
                <c:pt idx="193" formatCode="0.0">
                  <c:v>36.233333333333327</c:v>
                </c:pt>
                <c:pt idx="194" formatCode="0.0">
                  <c:v>38.766666666666666</c:v>
                </c:pt>
                <c:pt idx="195" formatCode="0.0">
                  <c:v>40.966666666666669</c:v>
                </c:pt>
                <c:pt idx="196" formatCode="0.0">
                  <c:v>46.866666666666674</c:v>
                </c:pt>
                <c:pt idx="197" formatCode="0.0">
                  <c:v>51.733333333333327</c:v>
                </c:pt>
                <c:pt idx="198" formatCode="0.0">
                  <c:v>57.1</c:v>
                </c:pt>
                <c:pt idx="199" formatCode="0.0">
                  <c:v>59.9</c:v>
                </c:pt>
                <c:pt idx="200" formatCode="0.0">
                  <c:v>59.733333333333327</c:v>
                </c:pt>
                <c:pt idx="201" formatCode="0.0">
                  <c:v>56.266666666666673</c:v>
                </c:pt>
                <c:pt idx="202" formatCode="0.0">
                  <c:v>49.766666666666673</c:v>
                </c:pt>
                <c:pt idx="203" formatCode="0.0">
                  <c:v>44.166666666666664</c:v>
                </c:pt>
                <c:pt idx="204" formatCode="0.0">
                  <c:v>41.233333333333334</c:v>
                </c:pt>
                <c:pt idx="205" formatCode="0.0">
                  <c:v>41.033333333333331</c:v>
                </c:pt>
                <c:pt idx="206" formatCode="0.0">
                  <c:v>40.066666666666663</c:v>
                </c:pt>
                <c:pt idx="207" formatCode="0.0">
                  <c:v>42.266666666666673</c:v>
                </c:pt>
                <c:pt idx="208" formatCode="0.0">
                  <c:v>46.633333333333333</c:v>
                </c:pt>
                <c:pt idx="209" formatCode="0.0">
                  <c:v>53.366666666666667</c:v>
                </c:pt>
                <c:pt idx="210" formatCode="0.0">
                  <c:v>58.033333333333331</c:v>
                </c:pt>
                <c:pt idx="211" formatCode="0.0">
                  <c:v>60.6</c:v>
                </c:pt>
                <c:pt idx="212" formatCode="0.0">
                  <c:v>59.833333333333336</c:v>
                </c:pt>
                <c:pt idx="213" formatCode="0.0">
                  <c:v>56.333333333333336</c:v>
                </c:pt>
                <c:pt idx="214" formatCode="0.0">
                  <c:v>49.533333333333331</c:v>
                </c:pt>
                <c:pt idx="215" formatCode="0.0">
                  <c:v>43.133333333333333</c:v>
                </c:pt>
                <c:pt idx="216" formatCode="0.0">
                  <c:v>40.199999999999996</c:v>
                </c:pt>
                <c:pt idx="217" formatCode="0.0">
                  <c:v>40.133333333333333</c:v>
                </c:pt>
                <c:pt idx="218" formatCode="0.0">
                  <c:v>43.533333333333339</c:v>
                </c:pt>
                <c:pt idx="219" formatCode="0.0">
                  <c:v>45.033333333333331</c:v>
                </c:pt>
                <c:pt idx="220" formatCode="0.0">
                  <c:v>48.766666666666673</c:v>
                </c:pt>
                <c:pt idx="221" formatCode="0.0">
                  <c:v>52.666666666666664</c:v>
                </c:pt>
                <c:pt idx="222" formatCode="0.0">
                  <c:v>57</c:v>
                </c:pt>
                <c:pt idx="223" formatCode="0.0">
                  <c:v>59.666666666666664</c:v>
                </c:pt>
                <c:pt idx="224" formatCode="0.0">
                  <c:v>59</c:v>
                </c:pt>
                <c:pt idx="225" formatCode="0.0">
                  <c:v>56.033333333333339</c:v>
                </c:pt>
                <c:pt idx="226" formatCode="0.0">
                  <c:v>51.833333333333336</c:v>
                </c:pt>
                <c:pt idx="227" formatCode="0.0">
                  <c:v>45.9</c:v>
                </c:pt>
                <c:pt idx="228" formatCode="0.0">
                  <c:v>42.133333333333333</c:v>
                </c:pt>
                <c:pt idx="229" formatCode="0.0">
                  <c:v>39.833333333333336</c:v>
                </c:pt>
                <c:pt idx="230" formatCode="0.0">
                  <c:v>40.9</c:v>
                </c:pt>
                <c:pt idx="231" formatCode="0.0">
                  <c:v>43.699999999999996</c:v>
                </c:pt>
                <c:pt idx="232" formatCode="0.0">
                  <c:v>47.533333333333331</c:v>
                </c:pt>
                <c:pt idx="233" formatCode="0.0">
                  <c:v>52.733333333333327</c:v>
                </c:pt>
                <c:pt idx="234" formatCode="0.0">
                  <c:v>57.033333333333339</c:v>
                </c:pt>
                <c:pt idx="235" formatCode="0.0">
                  <c:v>60.166666666666664</c:v>
                </c:pt>
                <c:pt idx="236" formatCode="0.0">
                  <c:v>60.233333333333327</c:v>
                </c:pt>
                <c:pt idx="237" formatCode="0.0">
                  <c:v>55.566666666666663</c:v>
                </c:pt>
                <c:pt idx="238" formatCode="0.0">
                  <c:v>50.5</c:v>
                </c:pt>
                <c:pt idx="239" formatCode="0.0">
                  <c:v>43.70000000000001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3-40EE-89A1-7A2381AC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287824"/>
        <c:axId val="778284464"/>
      </c:lineChart>
      <c:catAx>
        <c:axId val="77828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84464"/>
        <c:crosses val="autoZero"/>
        <c:auto val="1"/>
        <c:lblAlgn val="ctr"/>
        <c:lblOffset val="100"/>
        <c:noMultiLvlLbl val="0"/>
      </c:catAx>
      <c:valAx>
        <c:axId val="7782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8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'Air Passengers'!$D$1</c:f>
              <c:strCache>
                <c:ptCount val="1"/>
                <c:pt idx="0">
                  <c:v>Air Passengers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'Air Passengers'!$C$2:$C$145</c:f>
              <c:numCache>
                <c:formatCode>General</c:formatCode>
                <c:ptCount val="1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</c:numCache>
            </c:numRef>
          </c:cat>
          <c:val>
            <c:numRef>
              <c:f>'Air Passengers'!$D$2:$D$145</c:f>
              <c:numCache>
                <c:formatCode>General</c:formatCode>
                <c:ptCount val="144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36">
                  <c:v>171</c:v>
                </c:pt>
                <c:pt idx="37">
                  <c:v>180</c:v>
                </c:pt>
                <c:pt idx="38">
                  <c:v>193</c:v>
                </c:pt>
                <c:pt idx="39">
                  <c:v>181</c:v>
                </c:pt>
                <c:pt idx="40">
                  <c:v>183</c:v>
                </c:pt>
                <c:pt idx="41">
                  <c:v>218</c:v>
                </c:pt>
                <c:pt idx="42">
                  <c:v>230</c:v>
                </c:pt>
                <c:pt idx="43">
                  <c:v>242</c:v>
                </c:pt>
                <c:pt idx="44">
                  <c:v>209</c:v>
                </c:pt>
                <c:pt idx="45">
                  <c:v>191</c:v>
                </c:pt>
                <c:pt idx="46">
                  <c:v>172</c:v>
                </c:pt>
                <c:pt idx="47">
                  <c:v>194</c:v>
                </c:pt>
                <c:pt idx="48">
                  <c:v>196</c:v>
                </c:pt>
                <c:pt idx="49">
                  <c:v>196</c:v>
                </c:pt>
                <c:pt idx="50">
                  <c:v>236</c:v>
                </c:pt>
                <c:pt idx="51">
                  <c:v>235</c:v>
                </c:pt>
                <c:pt idx="52">
                  <c:v>229</c:v>
                </c:pt>
                <c:pt idx="53">
                  <c:v>243</c:v>
                </c:pt>
                <c:pt idx="54">
                  <c:v>264</c:v>
                </c:pt>
                <c:pt idx="55">
                  <c:v>272</c:v>
                </c:pt>
                <c:pt idx="56">
                  <c:v>237</c:v>
                </c:pt>
                <c:pt idx="57">
                  <c:v>211</c:v>
                </c:pt>
                <c:pt idx="58">
                  <c:v>180</c:v>
                </c:pt>
                <c:pt idx="59">
                  <c:v>201</c:v>
                </c:pt>
                <c:pt idx="60">
                  <c:v>204</c:v>
                </c:pt>
                <c:pt idx="61">
                  <c:v>188</c:v>
                </c:pt>
                <c:pt idx="62">
                  <c:v>235</c:v>
                </c:pt>
                <c:pt idx="63">
                  <c:v>227</c:v>
                </c:pt>
                <c:pt idx="64">
                  <c:v>234</c:v>
                </c:pt>
                <c:pt idx="65">
                  <c:v>264</c:v>
                </c:pt>
                <c:pt idx="66">
                  <c:v>302</c:v>
                </c:pt>
                <c:pt idx="67">
                  <c:v>293</c:v>
                </c:pt>
                <c:pt idx="68">
                  <c:v>259</c:v>
                </c:pt>
                <c:pt idx="69">
                  <c:v>229</c:v>
                </c:pt>
                <c:pt idx="70">
                  <c:v>203</c:v>
                </c:pt>
                <c:pt idx="71">
                  <c:v>229</c:v>
                </c:pt>
                <c:pt idx="72">
                  <c:v>242</c:v>
                </c:pt>
                <c:pt idx="73">
                  <c:v>233</c:v>
                </c:pt>
                <c:pt idx="74">
                  <c:v>267</c:v>
                </c:pt>
                <c:pt idx="75">
                  <c:v>269</c:v>
                </c:pt>
                <c:pt idx="76">
                  <c:v>270</c:v>
                </c:pt>
                <c:pt idx="77">
                  <c:v>315</c:v>
                </c:pt>
                <c:pt idx="78">
                  <c:v>364</c:v>
                </c:pt>
                <c:pt idx="79">
                  <c:v>347</c:v>
                </c:pt>
                <c:pt idx="80">
                  <c:v>312</c:v>
                </c:pt>
                <c:pt idx="81">
                  <c:v>274</c:v>
                </c:pt>
                <c:pt idx="82">
                  <c:v>237</c:v>
                </c:pt>
                <c:pt idx="83">
                  <c:v>278</c:v>
                </c:pt>
                <c:pt idx="84">
                  <c:v>284</c:v>
                </c:pt>
                <c:pt idx="85">
                  <c:v>277</c:v>
                </c:pt>
                <c:pt idx="86">
                  <c:v>317</c:v>
                </c:pt>
                <c:pt idx="87">
                  <c:v>313</c:v>
                </c:pt>
                <c:pt idx="88">
                  <c:v>318</c:v>
                </c:pt>
                <c:pt idx="89">
                  <c:v>374</c:v>
                </c:pt>
                <c:pt idx="90">
                  <c:v>413</c:v>
                </c:pt>
                <c:pt idx="91">
                  <c:v>405</c:v>
                </c:pt>
                <c:pt idx="92">
                  <c:v>355</c:v>
                </c:pt>
                <c:pt idx="93">
                  <c:v>306</c:v>
                </c:pt>
                <c:pt idx="94">
                  <c:v>271</c:v>
                </c:pt>
                <c:pt idx="95">
                  <c:v>306</c:v>
                </c:pt>
                <c:pt idx="96">
                  <c:v>315</c:v>
                </c:pt>
                <c:pt idx="97">
                  <c:v>301</c:v>
                </c:pt>
                <c:pt idx="98">
                  <c:v>356</c:v>
                </c:pt>
                <c:pt idx="99">
                  <c:v>348</c:v>
                </c:pt>
                <c:pt idx="100">
                  <c:v>355</c:v>
                </c:pt>
                <c:pt idx="101">
                  <c:v>422</c:v>
                </c:pt>
                <c:pt idx="102">
                  <c:v>465</c:v>
                </c:pt>
                <c:pt idx="103">
                  <c:v>467</c:v>
                </c:pt>
                <c:pt idx="104">
                  <c:v>404</c:v>
                </c:pt>
                <c:pt idx="105">
                  <c:v>347</c:v>
                </c:pt>
                <c:pt idx="106">
                  <c:v>305</c:v>
                </c:pt>
                <c:pt idx="107">
                  <c:v>336</c:v>
                </c:pt>
                <c:pt idx="108">
                  <c:v>340</c:v>
                </c:pt>
                <c:pt idx="109">
                  <c:v>318</c:v>
                </c:pt>
                <c:pt idx="110">
                  <c:v>362</c:v>
                </c:pt>
                <c:pt idx="111">
                  <c:v>348</c:v>
                </c:pt>
                <c:pt idx="112">
                  <c:v>363</c:v>
                </c:pt>
                <c:pt idx="113">
                  <c:v>435</c:v>
                </c:pt>
                <c:pt idx="114">
                  <c:v>491</c:v>
                </c:pt>
                <c:pt idx="115">
                  <c:v>505</c:v>
                </c:pt>
                <c:pt idx="116">
                  <c:v>404</c:v>
                </c:pt>
                <c:pt idx="117">
                  <c:v>359</c:v>
                </c:pt>
                <c:pt idx="118">
                  <c:v>310</c:v>
                </c:pt>
                <c:pt idx="119">
                  <c:v>337</c:v>
                </c:pt>
                <c:pt idx="120">
                  <c:v>360</c:v>
                </c:pt>
                <c:pt idx="121">
                  <c:v>342</c:v>
                </c:pt>
                <c:pt idx="122">
                  <c:v>406</c:v>
                </c:pt>
                <c:pt idx="123">
                  <c:v>396</c:v>
                </c:pt>
                <c:pt idx="124">
                  <c:v>420</c:v>
                </c:pt>
                <c:pt idx="125">
                  <c:v>472</c:v>
                </c:pt>
                <c:pt idx="126">
                  <c:v>548</c:v>
                </c:pt>
                <c:pt idx="127">
                  <c:v>559</c:v>
                </c:pt>
                <c:pt idx="128">
                  <c:v>463</c:v>
                </c:pt>
                <c:pt idx="129">
                  <c:v>407</c:v>
                </c:pt>
                <c:pt idx="130">
                  <c:v>362</c:v>
                </c:pt>
                <c:pt idx="131">
                  <c:v>405</c:v>
                </c:pt>
                <c:pt idx="132">
                  <c:v>417</c:v>
                </c:pt>
                <c:pt idx="133">
                  <c:v>391</c:v>
                </c:pt>
                <c:pt idx="134">
                  <c:v>419</c:v>
                </c:pt>
                <c:pt idx="135">
                  <c:v>461</c:v>
                </c:pt>
                <c:pt idx="136">
                  <c:v>472</c:v>
                </c:pt>
                <c:pt idx="137">
                  <c:v>535</c:v>
                </c:pt>
                <c:pt idx="138">
                  <c:v>622</c:v>
                </c:pt>
                <c:pt idx="139">
                  <c:v>606</c:v>
                </c:pt>
                <c:pt idx="140">
                  <c:v>508</c:v>
                </c:pt>
                <c:pt idx="141">
                  <c:v>461</c:v>
                </c:pt>
                <c:pt idx="142">
                  <c:v>390</c:v>
                </c:pt>
                <c:pt idx="143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7-4F15-8428-44FBE8B94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083056"/>
        <c:axId val="558084368"/>
      </c:lineChart>
      <c:catAx>
        <c:axId val="55808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84368"/>
        <c:crosses val="autoZero"/>
        <c:auto val="1"/>
        <c:lblAlgn val="ctr"/>
        <c:lblOffset val="100"/>
        <c:noMultiLvlLbl val="0"/>
      </c:catAx>
      <c:valAx>
        <c:axId val="5580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8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'Air Passengers'!$G$7:$G$147</c:f>
              <c:numCache>
                <c:formatCode>General</c:formatCode>
                <c:ptCount val="141"/>
                <c:pt idx="0">
                  <c:v>122.75</c:v>
                </c:pt>
                <c:pt idx="1">
                  <c:v>125</c:v>
                </c:pt>
                <c:pt idx="2">
                  <c:v>129.25</c:v>
                </c:pt>
                <c:pt idx="3">
                  <c:v>133.25</c:v>
                </c:pt>
                <c:pt idx="4">
                  <c:v>138</c:v>
                </c:pt>
                <c:pt idx="5">
                  <c:v>141.75</c:v>
                </c:pt>
                <c:pt idx="6">
                  <c:v>137.75</c:v>
                </c:pt>
                <c:pt idx="7">
                  <c:v>126.75</c:v>
                </c:pt>
                <c:pt idx="8">
                  <c:v>119.25</c:v>
                </c:pt>
                <c:pt idx="9">
                  <c:v>114</c:v>
                </c:pt>
                <c:pt idx="10">
                  <c:v>115.75</c:v>
                </c:pt>
                <c:pt idx="11">
                  <c:v>125</c:v>
                </c:pt>
                <c:pt idx="12">
                  <c:v>129.25</c:v>
                </c:pt>
                <c:pt idx="13">
                  <c:v>131.75</c:v>
                </c:pt>
                <c:pt idx="14">
                  <c:v>137.5</c:v>
                </c:pt>
                <c:pt idx="15">
                  <c:v>144.75</c:v>
                </c:pt>
                <c:pt idx="16">
                  <c:v>153.5</c:v>
                </c:pt>
                <c:pt idx="17">
                  <c:v>161.75</c:v>
                </c:pt>
                <c:pt idx="18">
                  <c:v>157.75</c:v>
                </c:pt>
                <c:pt idx="19">
                  <c:v>143.75</c:v>
                </c:pt>
                <c:pt idx="20">
                  <c:v>136.25</c:v>
                </c:pt>
                <c:pt idx="21">
                  <c:v>133</c:v>
                </c:pt>
                <c:pt idx="22">
                  <c:v>137.25</c:v>
                </c:pt>
                <c:pt idx="23">
                  <c:v>153.25</c:v>
                </c:pt>
                <c:pt idx="24">
                  <c:v>159</c:v>
                </c:pt>
                <c:pt idx="25">
                  <c:v>165.75</c:v>
                </c:pt>
                <c:pt idx="26">
                  <c:v>172.75</c:v>
                </c:pt>
                <c:pt idx="27">
                  <c:v>178</c:v>
                </c:pt>
                <c:pt idx="28">
                  <c:v>187</c:v>
                </c:pt>
                <c:pt idx="29">
                  <c:v>190</c:v>
                </c:pt>
                <c:pt idx="30">
                  <c:v>186</c:v>
                </c:pt>
                <c:pt idx="31">
                  <c:v>172.75</c:v>
                </c:pt>
                <c:pt idx="32">
                  <c:v>164.5</c:v>
                </c:pt>
                <c:pt idx="33">
                  <c:v>161.25</c:v>
                </c:pt>
                <c:pt idx="34">
                  <c:v>165.75</c:v>
                </c:pt>
                <c:pt idx="35">
                  <c:v>177.5</c:v>
                </c:pt>
                <c:pt idx="36">
                  <c:v>181.25</c:v>
                </c:pt>
                <c:pt idx="37">
                  <c:v>184.25</c:v>
                </c:pt>
                <c:pt idx="38">
                  <c:v>193.75</c:v>
                </c:pt>
                <c:pt idx="39">
                  <c:v>203</c:v>
                </c:pt>
                <c:pt idx="40">
                  <c:v>218.25</c:v>
                </c:pt>
                <c:pt idx="41">
                  <c:v>224.75</c:v>
                </c:pt>
                <c:pt idx="42">
                  <c:v>218</c:v>
                </c:pt>
                <c:pt idx="43">
                  <c:v>203.5</c:v>
                </c:pt>
                <c:pt idx="44">
                  <c:v>191.5</c:v>
                </c:pt>
                <c:pt idx="45">
                  <c:v>188.25</c:v>
                </c:pt>
                <c:pt idx="46">
                  <c:v>189.5</c:v>
                </c:pt>
                <c:pt idx="47">
                  <c:v>205.5</c:v>
                </c:pt>
                <c:pt idx="48">
                  <c:v>215.75</c:v>
                </c:pt>
                <c:pt idx="49">
                  <c:v>224</c:v>
                </c:pt>
                <c:pt idx="50">
                  <c:v>235.75</c:v>
                </c:pt>
                <c:pt idx="51">
                  <c:v>242.75</c:v>
                </c:pt>
                <c:pt idx="52">
                  <c:v>252</c:v>
                </c:pt>
                <c:pt idx="53">
                  <c:v>254</c:v>
                </c:pt>
                <c:pt idx="54">
                  <c:v>246</c:v>
                </c:pt>
                <c:pt idx="55">
                  <c:v>225</c:v>
                </c:pt>
                <c:pt idx="56">
                  <c:v>207.25</c:v>
                </c:pt>
                <c:pt idx="57">
                  <c:v>199</c:v>
                </c:pt>
                <c:pt idx="58">
                  <c:v>193.25</c:v>
                </c:pt>
                <c:pt idx="59">
                  <c:v>207</c:v>
                </c:pt>
                <c:pt idx="60">
                  <c:v>213.5</c:v>
                </c:pt>
                <c:pt idx="61">
                  <c:v>221</c:v>
                </c:pt>
                <c:pt idx="62">
                  <c:v>240</c:v>
                </c:pt>
                <c:pt idx="63">
                  <c:v>256.75</c:v>
                </c:pt>
                <c:pt idx="64">
                  <c:v>273.25</c:v>
                </c:pt>
                <c:pt idx="65">
                  <c:v>279.5</c:v>
                </c:pt>
                <c:pt idx="66">
                  <c:v>270.75</c:v>
                </c:pt>
                <c:pt idx="67">
                  <c:v>246</c:v>
                </c:pt>
                <c:pt idx="68">
                  <c:v>230</c:v>
                </c:pt>
                <c:pt idx="69">
                  <c:v>225.75</c:v>
                </c:pt>
                <c:pt idx="70">
                  <c:v>226.75</c:v>
                </c:pt>
                <c:pt idx="71">
                  <c:v>242.75</c:v>
                </c:pt>
                <c:pt idx="72">
                  <c:v>252.75</c:v>
                </c:pt>
                <c:pt idx="73">
                  <c:v>259.75</c:v>
                </c:pt>
                <c:pt idx="74">
                  <c:v>280.25</c:v>
                </c:pt>
                <c:pt idx="75">
                  <c:v>304.5</c:v>
                </c:pt>
                <c:pt idx="76">
                  <c:v>324</c:v>
                </c:pt>
                <c:pt idx="77">
                  <c:v>334.5</c:v>
                </c:pt>
                <c:pt idx="78">
                  <c:v>324.25</c:v>
                </c:pt>
                <c:pt idx="79">
                  <c:v>292.5</c:v>
                </c:pt>
                <c:pt idx="80">
                  <c:v>275.25</c:v>
                </c:pt>
                <c:pt idx="81">
                  <c:v>268.25</c:v>
                </c:pt>
                <c:pt idx="82">
                  <c:v>269</c:v>
                </c:pt>
                <c:pt idx="83">
                  <c:v>289</c:v>
                </c:pt>
                <c:pt idx="84">
                  <c:v>297.75</c:v>
                </c:pt>
                <c:pt idx="85">
                  <c:v>306.25</c:v>
                </c:pt>
                <c:pt idx="86">
                  <c:v>330.5</c:v>
                </c:pt>
                <c:pt idx="87">
                  <c:v>354.5</c:v>
                </c:pt>
                <c:pt idx="88">
                  <c:v>377.5</c:v>
                </c:pt>
                <c:pt idx="89">
                  <c:v>386.75</c:v>
                </c:pt>
                <c:pt idx="90">
                  <c:v>369.75</c:v>
                </c:pt>
                <c:pt idx="91">
                  <c:v>334.25</c:v>
                </c:pt>
                <c:pt idx="92">
                  <c:v>309.5</c:v>
                </c:pt>
                <c:pt idx="93">
                  <c:v>299.5</c:v>
                </c:pt>
                <c:pt idx="94">
                  <c:v>298.25</c:v>
                </c:pt>
                <c:pt idx="95">
                  <c:v>319.5</c:v>
                </c:pt>
                <c:pt idx="96">
                  <c:v>330</c:v>
                </c:pt>
                <c:pt idx="97">
                  <c:v>340</c:v>
                </c:pt>
                <c:pt idx="98">
                  <c:v>370.25</c:v>
                </c:pt>
                <c:pt idx="99">
                  <c:v>397.5</c:v>
                </c:pt>
                <c:pt idx="100">
                  <c:v>427.25</c:v>
                </c:pt>
                <c:pt idx="101">
                  <c:v>439.5</c:v>
                </c:pt>
                <c:pt idx="102">
                  <c:v>420.75</c:v>
                </c:pt>
                <c:pt idx="103">
                  <c:v>380.75</c:v>
                </c:pt>
                <c:pt idx="104">
                  <c:v>348</c:v>
                </c:pt>
                <c:pt idx="105">
                  <c:v>332</c:v>
                </c:pt>
                <c:pt idx="106">
                  <c:v>324.75</c:v>
                </c:pt>
                <c:pt idx="107">
                  <c:v>339</c:v>
                </c:pt>
                <c:pt idx="108">
                  <c:v>342</c:v>
                </c:pt>
                <c:pt idx="109">
                  <c:v>347.75</c:v>
                </c:pt>
                <c:pt idx="110">
                  <c:v>377</c:v>
                </c:pt>
                <c:pt idx="111">
                  <c:v>409.25</c:v>
                </c:pt>
                <c:pt idx="112">
                  <c:v>448.5</c:v>
                </c:pt>
                <c:pt idx="113">
                  <c:v>458.75</c:v>
                </c:pt>
                <c:pt idx="114">
                  <c:v>439.75</c:v>
                </c:pt>
                <c:pt idx="115">
                  <c:v>394.5</c:v>
                </c:pt>
                <c:pt idx="116">
                  <c:v>352.5</c:v>
                </c:pt>
                <c:pt idx="117">
                  <c:v>341.5</c:v>
                </c:pt>
                <c:pt idx="118">
                  <c:v>337.25</c:v>
                </c:pt>
                <c:pt idx="119">
                  <c:v>361.25</c:v>
                </c:pt>
                <c:pt idx="120">
                  <c:v>376</c:v>
                </c:pt>
                <c:pt idx="121">
                  <c:v>391</c:v>
                </c:pt>
                <c:pt idx="122">
                  <c:v>423.5</c:v>
                </c:pt>
                <c:pt idx="123">
                  <c:v>459</c:v>
                </c:pt>
                <c:pt idx="124">
                  <c:v>499.75</c:v>
                </c:pt>
                <c:pt idx="125">
                  <c:v>510.5</c:v>
                </c:pt>
                <c:pt idx="126">
                  <c:v>494.25</c:v>
                </c:pt>
                <c:pt idx="127">
                  <c:v>447.75</c:v>
                </c:pt>
                <c:pt idx="128">
                  <c:v>409.25</c:v>
                </c:pt>
                <c:pt idx="129">
                  <c:v>397.75</c:v>
                </c:pt>
                <c:pt idx="130">
                  <c:v>393.75</c:v>
                </c:pt>
                <c:pt idx="131">
                  <c:v>408</c:v>
                </c:pt>
                <c:pt idx="132">
                  <c:v>422</c:v>
                </c:pt>
                <c:pt idx="133">
                  <c:v>435.75</c:v>
                </c:pt>
                <c:pt idx="134">
                  <c:v>471.75</c:v>
                </c:pt>
                <c:pt idx="135">
                  <c:v>522.5</c:v>
                </c:pt>
                <c:pt idx="136">
                  <c:v>558.75</c:v>
                </c:pt>
                <c:pt idx="137">
                  <c:v>567.75</c:v>
                </c:pt>
                <c:pt idx="138">
                  <c:v>549.25</c:v>
                </c:pt>
                <c:pt idx="139">
                  <c:v>491.25</c:v>
                </c:pt>
                <c:pt idx="140">
                  <c:v>447.75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8-45FE-B549-AF78C29C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262048"/>
        <c:axId val="532266368"/>
      </c:lineChart>
      <c:catAx>
        <c:axId val="53226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6368"/>
        <c:crosses val="autoZero"/>
        <c:auto val="1"/>
        <c:lblAlgn val="ctr"/>
        <c:lblOffset val="100"/>
        <c:noMultiLvlLbl val="0"/>
      </c:catAx>
      <c:valAx>
        <c:axId val="53226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'Air Passengers'!$D$1</c:f>
              <c:strCache>
                <c:ptCount val="1"/>
                <c:pt idx="0">
                  <c:v>Air Passengers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'Air Passengers'!$D$2:$D$147</c:f>
              <c:numCache>
                <c:formatCode>General</c:formatCode>
                <c:ptCount val="146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36">
                  <c:v>171</c:v>
                </c:pt>
                <c:pt idx="37">
                  <c:v>180</c:v>
                </c:pt>
                <c:pt idx="38">
                  <c:v>193</c:v>
                </c:pt>
                <c:pt idx="39">
                  <c:v>181</c:v>
                </c:pt>
                <c:pt idx="40">
                  <c:v>183</c:v>
                </c:pt>
                <c:pt idx="41">
                  <c:v>218</c:v>
                </c:pt>
                <c:pt idx="42">
                  <c:v>230</c:v>
                </c:pt>
                <c:pt idx="43">
                  <c:v>242</c:v>
                </c:pt>
                <c:pt idx="44">
                  <c:v>209</c:v>
                </c:pt>
                <c:pt idx="45">
                  <c:v>191</c:v>
                </c:pt>
                <c:pt idx="46">
                  <c:v>172</c:v>
                </c:pt>
                <c:pt idx="47">
                  <c:v>194</c:v>
                </c:pt>
                <c:pt idx="48">
                  <c:v>196</c:v>
                </c:pt>
                <c:pt idx="49">
                  <c:v>196</c:v>
                </c:pt>
                <c:pt idx="50">
                  <c:v>236</c:v>
                </c:pt>
                <c:pt idx="51">
                  <c:v>235</c:v>
                </c:pt>
                <c:pt idx="52">
                  <c:v>229</c:v>
                </c:pt>
                <c:pt idx="53">
                  <c:v>243</c:v>
                </c:pt>
                <c:pt idx="54">
                  <c:v>264</c:v>
                </c:pt>
                <c:pt idx="55">
                  <c:v>272</c:v>
                </c:pt>
                <c:pt idx="56">
                  <c:v>237</c:v>
                </c:pt>
                <c:pt idx="57">
                  <c:v>211</c:v>
                </c:pt>
                <c:pt idx="58">
                  <c:v>180</c:v>
                </c:pt>
                <c:pt idx="59">
                  <c:v>201</c:v>
                </c:pt>
                <c:pt idx="60">
                  <c:v>204</c:v>
                </c:pt>
                <c:pt idx="61">
                  <c:v>188</c:v>
                </c:pt>
                <c:pt idx="62">
                  <c:v>235</c:v>
                </c:pt>
                <c:pt idx="63">
                  <c:v>227</c:v>
                </c:pt>
                <c:pt idx="64">
                  <c:v>234</c:v>
                </c:pt>
                <c:pt idx="65">
                  <c:v>264</c:v>
                </c:pt>
                <c:pt idx="66">
                  <c:v>302</c:v>
                </c:pt>
                <c:pt idx="67">
                  <c:v>293</c:v>
                </c:pt>
                <c:pt idx="68">
                  <c:v>259</c:v>
                </c:pt>
                <c:pt idx="69">
                  <c:v>229</c:v>
                </c:pt>
                <c:pt idx="70">
                  <c:v>203</c:v>
                </c:pt>
                <c:pt idx="71">
                  <c:v>229</c:v>
                </c:pt>
                <c:pt idx="72">
                  <c:v>242</c:v>
                </c:pt>
                <c:pt idx="73">
                  <c:v>233</c:v>
                </c:pt>
                <c:pt idx="74">
                  <c:v>267</c:v>
                </c:pt>
                <c:pt idx="75">
                  <c:v>269</c:v>
                </c:pt>
                <c:pt idx="76">
                  <c:v>270</c:v>
                </c:pt>
                <c:pt idx="77">
                  <c:v>315</c:v>
                </c:pt>
                <c:pt idx="78">
                  <c:v>364</c:v>
                </c:pt>
                <c:pt idx="79">
                  <c:v>347</c:v>
                </c:pt>
                <c:pt idx="80">
                  <c:v>312</c:v>
                </c:pt>
                <c:pt idx="81">
                  <c:v>274</c:v>
                </c:pt>
                <c:pt idx="82">
                  <c:v>237</c:v>
                </c:pt>
                <c:pt idx="83">
                  <c:v>278</c:v>
                </c:pt>
                <c:pt idx="84">
                  <c:v>284</c:v>
                </c:pt>
                <c:pt idx="85">
                  <c:v>277</c:v>
                </c:pt>
                <c:pt idx="86">
                  <c:v>317</c:v>
                </c:pt>
                <c:pt idx="87">
                  <c:v>313</c:v>
                </c:pt>
                <c:pt idx="88">
                  <c:v>318</c:v>
                </c:pt>
                <c:pt idx="89">
                  <c:v>374</c:v>
                </c:pt>
                <c:pt idx="90">
                  <c:v>413</c:v>
                </c:pt>
                <c:pt idx="91">
                  <c:v>405</c:v>
                </c:pt>
                <c:pt idx="92">
                  <c:v>355</c:v>
                </c:pt>
                <c:pt idx="93">
                  <c:v>306</c:v>
                </c:pt>
                <c:pt idx="94">
                  <c:v>271</c:v>
                </c:pt>
                <c:pt idx="95">
                  <c:v>306</c:v>
                </c:pt>
                <c:pt idx="96">
                  <c:v>315</c:v>
                </c:pt>
                <c:pt idx="97">
                  <c:v>301</c:v>
                </c:pt>
                <c:pt idx="98">
                  <c:v>356</c:v>
                </c:pt>
                <c:pt idx="99">
                  <c:v>348</c:v>
                </c:pt>
                <c:pt idx="100">
                  <c:v>355</c:v>
                </c:pt>
                <c:pt idx="101">
                  <c:v>422</c:v>
                </c:pt>
                <c:pt idx="102">
                  <c:v>465</c:v>
                </c:pt>
                <c:pt idx="103">
                  <c:v>467</c:v>
                </c:pt>
                <c:pt idx="104">
                  <c:v>404</c:v>
                </c:pt>
                <c:pt idx="105">
                  <c:v>347</c:v>
                </c:pt>
                <c:pt idx="106">
                  <c:v>305</c:v>
                </c:pt>
                <c:pt idx="107">
                  <c:v>336</c:v>
                </c:pt>
                <c:pt idx="108">
                  <c:v>340</c:v>
                </c:pt>
                <c:pt idx="109">
                  <c:v>318</c:v>
                </c:pt>
                <c:pt idx="110">
                  <c:v>362</c:v>
                </c:pt>
                <c:pt idx="111">
                  <c:v>348</c:v>
                </c:pt>
                <c:pt idx="112">
                  <c:v>363</c:v>
                </c:pt>
                <c:pt idx="113">
                  <c:v>435</c:v>
                </c:pt>
                <c:pt idx="114">
                  <c:v>491</c:v>
                </c:pt>
                <c:pt idx="115">
                  <c:v>505</c:v>
                </c:pt>
                <c:pt idx="116">
                  <c:v>404</c:v>
                </c:pt>
                <c:pt idx="117">
                  <c:v>359</c:v>
                </c:pt>
                <c:pt idx="118">
                  <c:v>310</c:v>
                </c:pt>
                <c:pt idx="119">
                  <c:v>337</c:v>
                </c:pt>
                <c:pt idx="120">
                  <c:v>360</c:v>
                </c:pt>
                <c:pt idx="121">
                  <c:v>342</c:v>
                </c:pt>
                <c:pt idx="122">
                  <c:v>406</c:v>
                </c:pt>
                <c:pt idx="123">
                  <c:v>396</c:v>
                </c:pt>
                <c:pt idx="124">
                  <c:v>420</c:v>
                </c:pt>
                <c:pt idx="125">
                  <c:v>472</c:v>
                </c:pt>
                <c:pt idx="126">
                  <c:v>548</c:v>
                </c:pt>
                <c:pt idx="127">
                  <c:v>559</c:v>
                </c:pt>
                <c:pt idx="128">
                  <c:v>463</c:v>
                </c:pt>
                <c:pt idx="129">
                  <c:v>407</c:v>
                </c:pt>
                <c:pt idx="130">
                  <c:v>362</c:v>
                </c:pt>
                <c:pt idx="131">
                  <c:v>405</c:v>
                </c:pt>
                <c:pt idx="132">
                  <c:v>417</c:v>
                </c:pt>
                <c:pt idx="133">
                  <c:v>391</c:v>
                </c:pt>
                <c:pt idx="134">
                  <c:v>419</c:v>
                </c:pt>
                <c:pt idx="135">
                  <c:v>461</c:v>
                </c:pt>
                <c:pt idx="136">
                  <c:v>472</c:v>
                </c:pt>
                <c:pt idx="137">
                  <c:v>535</c:v>
                </c:pt>
                <c:pt idx="138">
                  <c:v>622</c:v>
                </c:pt>
                <c:pt idx="139">
                  <c:v>606</c:v>
                </c:pt>
                <c:pt idx="140">
                  <c:v>508</c:v>
                </c:pt>
                <c:pt idx="141">
                  <c:v>461</c:v>
                </c:pt>
                <c:pt idx="142">
                  <c:v>390</c:v>
                </c:pt>
                <c:pt idx="143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6-4C25-9960-22C295690094}"/>
            </c:ext>
          </c:extLst>
        </c:ser>
        <c:ser>
          <c:idx val="1"/>
          <c:order val="1"/>
          <c:tx>
            <c:strRef>
              <c:f>'Air Passengers'!$G$1</c:f>
              <c:strCache>
                <c:ptCount val="1"/>
                <c:pt idx="0">
                  <c:v>Moving Average (MA)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'Air Passengers'!$G$2:$G$147</c:f>
              <c:numCache>
                <c:formatCode>General</c:formatCode>
                <c:ptCount val="146"/>
                <c:pt idx="5">
                  <c:v>122.75</c:v>
                </c:pt>
                <c:pt idx="6">
                  <c:v>125</c:v>
                </c:pt>
                <c:pt idx="7">
                  <c:v>129.25</c:v>
                </c:pt>
                <c:pt idx="8">
                  <c:v>133.25</c:v>
                </c:pt>
                <c:pt idx="9">
                  <c:v>138</c:v>
                </c:pt>
                <c:pt idx="10">
                  <c:v>141.75</c:v>
                </c:pt>
                <c:pt idx="11">
                  <c:v>137.75</c:v>
                </c:pt>
                <c:pt idx="12">
                  <c:v>126.75</c:v>
                </c:pt>
                <c:pt idx="13">
                  <c:v>119.25</c:v>
                </c:pt>
                <c:pt idx="14">
                  <c:v>114</c:v>
                </c:pt>
                <c:pt idx="15">
                  <c:v>115.75</c:v>
                </c:pt>
                <c:pt idx="16">
                  <c:v>125</c:v>
                </c:pt>
                <c:pt idx="17">
                  <c:v>129.25</c:v>
                </c:pt>
                <c:pt idx="18">
                  <c:v>131.75</c:v>
                </c:pt>
                <c:pt idx="19">
                  <c:v>137.5</c:v>
                </c:pt>
                <c:pt idx="20">
                  <c:v>144.75</c:v>
                </c:pt>
                <c:pt idx="21">
                  <c:v>153.5</c:v>
                </c:pt>
                <c:pt idx="22">
                  <c:v>161.75</c:v>
                </c:pt>
                <c:pt idx="23">
                  <c:v>157.75</c:v>
                </c:pt>
                <c:pt idx="24">
                  <c:v>143.75</c:v>
                </c:pt>
                <c:pt idx="25">
                  <c:v>136.25</c:v>
                </c:pt>
                <c:pt idx="26">
                  <c:v>133</c:v>
                </c:pt>
                <c:pt idx="27">
                  <c:v>137.25</c:v>
                </c:pt>
                <c:pt idx="28">
                  <c:v>153.25</c:v>
                </c:pt>
                <c:pt idx="29">
                  <c:v>159</c:v>
                </c:pt>
                <c:pt idx="30">
                  <c:v>165.75</c:v>
                </c:pt>
                <c:pt idx="31">
                  <c:v>172.75</c:v>
                </c:pt>
                <c:pt idx="32">
                  <c:v>178</c:v>
                </c:pt>
                <c:pt idx="33">
                  <c:v>187</c:v>
                </c:pt>
                <c:pt idx="34">
                  <c:v>190</c:v>
                </c:pt>
                <c:pt idx="35">
                  <c:v>186</c:v>
                </c:pt>
                <c:pt idx="36">
                  <c:v>172.75</c:v>
                </c:pt>
                <c:pt idx="37">
                  <c:v>164.5</c:v>
                </c:pt>
                <c:pt idx="38">
                  <c:v>161.25</c:v>
                </c:pt>
                <c:pt idx="39">
                  <c:v>165.75</c:v>
                </c:pt>
                <c:pt idx="40">
                  <c:v>177.5</c:v>
                </c:pt>
                <c:pt idx="41">
                  <c:v>181.25</c:v>
                </c:pt>
                <c:pt idx="42">
                  <c:v>184.25</c:v>
                </c:pt>
                <c:pt idx="43">
                  <c:v>193.75</c:v>
                </c:pt>
                <c:pt idx="44">
                  <c:v>203</c:v>
                </c:pt>
                <c:pt idx="45">
                  <c:v>218.25</c:v>
                </c:pt>
                <c:pt idx="46">
                  <c:v>224.75</c:v>
                </c:pt>
                <c:pt idx="47">
                  <c:v>218</c:v>
                </c:pt>
                <c:pt idx="48">
                  <c:v>203.5</c:v>
                </c:pt>
                <c:pt idx="49">
                  <c:v>191.5</c:v>
                </c:pt>
                <c:pt idx="50">
                  <c:v>188.25</c:v>
                </c:pt>
                <c:pt idx="51">
                  <c:v>189.5</c:v>
                </c:pt>
                <c:pt idx="52">
                  <c:v>205.5</c:v>
                </c:pt>
                <c:pt idx="53">
                  <c:v>215.75</c:v>
                </c:pt>
                <c:pt idx="54">
                  <c:v>224</c:v>
                </c:pt>
                <c:pt idx="55">
                  <c:v>235.75</c:v>
                </c:pt>
                <c:pt idx="56">
                  <c:v>242.75</c:v>
                </c:pt>
                <c:pt idx="57">
                  <c:v>252</c:v>
                </c:pt>
                <c:pt idx="58">
                  <c:v>254</c:v>
                </c:pt>
                <c:pt idx="59">
                  <c:v>246</c:v>
                </c:pt>
                <c:pt idx="60">
                  <c:v>225</c:v>
                </c:pt>
                <c:pt idx="61">
                  <c:v>207.25</c:v>
                </c:pt>
                <c:pt idx="62">
                  <c:v>199</c:v>
                </c:pt>
                <c:pt idx="63">
                  <c:v>193.25</c:v>
                </c:pt>
                <c:pt idx="64">
                  <c:v>207</c:v>
                </c:pt>
                <c:pt idx="65">
                  <c:v>213.5</c:v>
                </c:pt>
                <c:pt idx="66">
                  <c:v>221</c:v>
                </c:pt>
                <c:pt idx="67">
                  <c:v>240</c:v>
                </c:pt>
                <c:pt idx="68">
                  <c:v>256.75</c:v>
                </c:pt>
                <c:pt idx="69">
                  <c:v>273.25</c:v>
                </c:pt>
                <c:pt idx="70">
                  <c:v>279.5</c:v>
                </c:pt>
                <c:pt idx="71">
                  <c:v>270.75</c:v>
                </c:pt>
                <c:pt idx="72">
                  <c:v>246</c:v>
                </c:pt>
                <c:pt idx="73">
                  <c:v>230</c:v>
                </c:pt>
                <c:pt idx="74">
                  <c:v>225.75</c:v>
                </c:pt>
                <c:pt idx="75">
                  <c:v>226.75</c:v>
                </c:pt>
                <c:pt idx="76">
                  <c:v>242.75</c:v>
                </c:pt>
                <c:pt idx="77">
                  <c:v>252.75</c:v>
                </c:pt>
                <c:pt idx="78">
                  <c:v>259.75</c:v>
                </c:pt>
                <c:pt idx="79">
                  <c:v>280.25</c:v>
                </c:pt>
                <c:pt idx="80">
                  <c:v>304.5</c:v>
                </c:pt>
                <c:pt idx="81">
                  <c:v>324</c:v>
                </c:pt>
                <c:pt idx="82">
                  <c:v>334.5</c:v>
                </c:pt>
                <c:pt idx="83">
                  <c:v>324.25</c:v>
                </c:pt>
                <c:pt idx="84">
                  <c:v>292.5</c:v>
                </c:pt>
                <c:pt idx="85">
                  <c:v>275.25</c:v>
                </c:pt>
                <c:pt idx="86">
                  <c:v>268.25</c:v>
                </c:pt>
                <c:pt idx="87">
                  <c:v>269</c:v>
                </c:pt>
                <c:pt idx="88">
                  <c:v>289</c:v>
                </c:pt>
                <c:pt idx="89">
                  <c:v>297.75</c:v>
                </c:pt>
                <c:pt idx="90">
                  <c:v>306.25</c:v>
                </c:pt>
                <c:pt idx="91">
                  <c:v>330.5</c:v>
                </c:pt>
                <c:pt idx="92">
                  <c:v>354.5</c:v>
                </c:pt>
                <c:pt idx="93">
                  <c:v>377.5</c:v>
                </c:pt>
                <c:pt idx="94">
                  <c:v>386.75</c:v>
                </c:pt>
                <c:pt idx="95">
                  <c:v>369.75</c:v>
                </c:pt>
                <c:pt idx="96">
                  <c:v>334.25</c:v>
                </c:pt>
                <c:pt idx="97">
                  <c:v>309.5</c:v>
                </c:pt>
                <c:pt idx="98">
                  <c:v>299.5</c:v>
                </c:pt>
                <c:pt idx="99">
                  <c:v>298.25</c:v>
                </c:pt>
                <c:pt idx="100">
                  <c:v>319.5</c:v>
                </c:pt>
                <c:pt idx="101">
                  <c:v>330</c:v>
                </c:pt>
                <c:pt idx="102">
                  <c:v>340</c:v>
                </c:pt>
                <c:pt idx="103">
                  <c:v>370.25</c:v>
                </c:pt>
                <c:pt idx="104">
                  <c:v>397.5</c:v>
                </c:pt>
                <c:pt idx="105">
                  <c:v>427.25</c:v>
                </c:pt>
                <c:pt idx="106">
                  <c:v>439.5</c:v>
                </c:pt>
                <c:pt idx="107">
                  <c:v>420.75</c:v>
                </c:pt>
                <c:pt idx="108">
                  <c:v>380.75</c:v>
                </c:pt>
                <c:pt idx="109">
                  <c:v>348</c:v>
                </c:pt>
                <c:pt idx="110">
                  <c:v>332</c:v>
                </c:pt>
                <c:pt idx="111">
                  <c:v>324.75</c:v>
                </c:pt>
                <c:pt idx="112">
                  <c:v>339</c:v>
                </c:pt>
                <c:pt idx="113">
                  <c:v>342</c:v>
                </c:pt>
                <c:pt idx="114">
                  <c:v>347.75</c:v>
                </c:pt>
                <c:pt idx="115">
                  <c:v>377</c:v>
                </c:pt>
                <c:pt idx="116">
                  <c:v>409.25</c:v>
                </c:pt>
                <c:pt idx="117">
                  <c:v>448.5</c:v>
                </c:pt>
                <c:pt idx="118">
                  <c:v>458.75</c:v>
                </c:pt>
                <c:pt idx="119">
                  <c:v>439.75</c:v>
                </c:pt>
                <c:pt idx="120">
                  <c:v>394.5</c:v>
                </c:pt>
                <c:pt idx="121">
                  <c:v>352.5</c:v>
                </c:pt>
                <c:pt idx="122">
                  <c:v>341.5</c:v>
                </c:pt>
                <c:pt idx="123">
                  <c:v>337.25</c:v>
                </c:pt>
                <c:pt idx="124">
                  <c:v>361.25</c:v>
                </c:pt>
                <c:pt idx="125">
                  <c:v>376</c:v>
                </c:pt>
                <c:pt idx="126">
                  <c:v>391</c:v>
                </c:pt>
                <c:pt idx="127">
                  <c:v>423.5</c:v>
                </c:pt>
                <c:pt idx="128">
                  <c:v>459</c:v>
                </c:pt>
                <c:pt idx="129">
                  <c:v>499.75</c:v>
                </c:pt>
                <c:pt idx="130">
                  <c:v>510.5</c:v>
                </c:pt>
                <c:pt idx="131">
                  <c:v>494.25</c:v>
                </c:pt>
                <c:pt idx="132">
                  <c:v>447.75</c:v>
                </c:pt>
                <c:pt idx="133">
                  <c:v>409.25</c:v>
                </c:pt>
                <c:pt idx="134">
                  <c:v>397.75</c:v>
                </c:pt>
                <c:pt idx="135">
                  <c:v>393.75</c:v>
                </c:pt>
                <c:pt idx="136">
                  <c:v>408</c:v>
                </c:pt>
                <c:pt idx="137">
                  <c:v>422</c:v>
                </c:pt>
                <c:pt idx="138">
                  <c:v>435.75</c:v>
                </c:pt>
                <c:pt idx="139">
                  <c:v>471.75</c:v>
                </c:pt>
                <c:pt idx="140">
                  <c:v>522.5</c:v>
                </c:pt>
                <c:pt idx="141">
                  <c:v>558.75</c:v>
                </c:pt>
                <c:pt idx="142">
                  <c:v>567.75</c:v>
                </c:pt>
                <c:pt idx="143">
                  <c:v>549.25</c:v>
                </c:pt>
                <c:pt idx="144">
                  <c:v>491.25</c:v>
                </c:pt>
                <c:pt idx="145">
                  <c:v>447.75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66-4C25-9960-22C295690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61536"/>
        <c:axId val="816349872"/>
      </c:lineChart>
      <c:catAx>
        <c:axId val="195361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349872"/>
        <c:crosses val="autoZero"/>
        <c:auto val="1"/>
        <c:lblAlgn val="ctr"/>
        <c:lblOffset val="100"/>
        <c:noMultiLvlLbl val="0"/>
      </c:catAx>
      <c:valAx>
        <c:axId val="8163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6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Amazon.com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'Optional_Amazon revenue'!$D$1</c:f>
              <c:strCache>
                <c:ptCount val="1"/>
                <c:pt idx="0">
                  <c:v>Amazon Revenue In Millions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'Optional_Amazon revenue'!$D$2:$D$69</c:f>
              <c:numCache>
                <c:formatCode>General</c:formatCode>
                <c:ptCount val="68"/>
                <c:pt idx="0">
                  <c:v>0.51100000000000001</c:v>
                </c:pt>
                <c:pt idx="1">
                  <c:v>0.875</c:v>
                </c:pt>
                <c:pt idx="2">
                  <c:v>2.23</c:v>
                </c:pt>
                <c:pt idx="3">
                  <c:v>4.173</c:v>
                </c:pt>
                <c:pt idx="4">
                  <c:v>8.468</c:v>
                </c:pt>
                <c:pt idx="5">
                  <c:v>16.004999999999999</c:v>
                </c:pt>
                <c:pt idx="6">
                  <c:v>27.855</c:v>
                </c:pt>
                <c:pt idx="7">
                  <c:v>37.887</c:v>
                </c:pt>
                <c:pt idx="8">
                  <c:v>66.040000000000006</c:v>
                </c:pt>
                <c:pt idx="9">
                  <c:v>87.361000000000004</c:v>
                </c:pt>
                <c:pt idx="10">
                  <c:v>115.982</c:v>
                </c:pt>
                <c:pt idx="11">
                  <c:v>153.649</c:v>
                </c:pt>
                <c:pt idx="12">
                  <c:v>252.893</c:v>
                </c:pt>
                <c:pt idx="13">
                  <c:v>293.64299999999997</c:v>
                </c:pt>
                <c:pt idx="14">
                  <c:v>314.37599999999998</c:v>
                </c:pt>
                <c:pt idx="15">
                  <c:v>355.77800000000002</c:v>
                </c:pt>
                <c:pt idx="16">
                  <c:v>676.04200000000003</c:v>
                </c:pt>
                <c:pt idx="17">
                  <c:v>573.88900000000001</c:v>
                </c:pt>
                <c:pt idx="18">
                  <c:v>577.87599999999998</c:v>
                </c:pt>
                <c:pt idx="19">
                  <c:v>637.85799999999995</c:v>
                </c:pt>
                <c:pt idx="20">
                  <c:v>972.36</c:v>
                </c:pt>
                <c:pt idx="21">
                  <c:v>700.35599999999999</c:v>
                </c:pt>
                <c:pt idx="22">
                  <c:v>667.625</c:v>
                </c:pt>
                <c:pt idx="23">
                  <c:v>639.28099999999995</c:v>
                </c:pt>
                <c:pt idx="24">
                  <c:v>1115.171</c:v>
                </c:pt>
                <c:pt idx="25">
                  <c:v>847.42200000000003</c:v>
                </c:pt>
                <c:pt idx="26">
                  <c:v>805.60500000000002</c:v>
                </c:pt>
                <c:pt idx="27">
                  <c:v>851.29899999999998</c:v>
                </c:pt>
                <c:pt idx="28">
                  <c:v>1428.61</c:v>
                </c:pt>
                <c:pt idx="29">
                  <c:v>1083.559</c:v>
                </c:pt>
                <c:pt idx="30">
                  <c:v>1099.912</c:v>
                </c:pt>
                <c:pt idx="31">
                  <c:v>1134.4559999999999</c:v>
                </c:pt>
                <c:pt idx="32">
                  <c:v>1945.7719999999999</c:v>
                </c:pt>
                <c:pt idx="33">
                  <c:v>1530.3489999999999</c:v>
                </c:pt>
                <c:pt idx="34">
                  <c:v>1387.3409999999999</c:v>
                </c:pt>
                <c:pt idx="35">
                  <c:v>1462.4749999999999</c:v>
                </c:pt>
                <c:pt idx="36">
                  <c:v>2540.9589999999998</c:v>
                </c:pt>
                <c:pt idx="37">
                  <c:v>1902</c:v>
                </c:pt>
                <c:pt idx="38">
                  <c:v>1753</c:v>
                </c:pt>
                <c:pt idx="39">
                  <c:v>1858</c:v>
                </c:pt>
                <c:pt idx="40">
                  <c:v>2977</c:v>
                </c:pt>
                <c:pt idx="41">
                  <c:v>2279</c:v>
                </c:pt>
                <c:pt idx="42">
                  <c:v>2139</c:v>
                </c:pt>
                <c:pt idx="43">
                  <c:v>2307</c:v>
                </c:pt>
                <c:pt idx="44">
                  <c:v>3986</c:v>
                </c:pt>
                <c:pt idx="45">
                  <c:v>3015</c:v>
                </c:pt>
                <c:pt idx="46">
                  <c:v>2886</c:v>
                </c:pt>
                <c:pt idx="47">
                  <c:v>3262</c:v>
                </c:pt>
                <c:pt idx="48">
                  <c:v>5672</c:v>
                </c:pt>
                <c:pt idx="49">
                  <c:v>4135</c:v>
                </c:pt>
                <c:pt idx="50">
                  <c:v>4063</c:v>
                </c:pt>
                <c:pt idx="51">
                  <c:v>4265</c:v>
                </c:pt>
                <c:pt idx="52">
                  <c:v>6703</c:v>
                </c:pt>
                <c:pt idx="53">
                  <c:v>4889</c:v>
                </c:pt>
                <c:pt idx="54">
                  <c:v>4652</c:v>
                </c:pt>
                <c:pt idx="55">
                  <c:v>5448</c:v>
                </c:pt>
                <c:pt idx="56">
                  <c:v>9520</c:v>
                </c:pt>
                <c:pt idx="57">
                  <c:v>7131</c:v>
                </c:pt>
                <c:pt idx="58">
                  <c:v>6566</c:v>
                </c:pt>
                <c:pt idx="59">
                  <c:v>7560</c:v>
                </c:pt>
                <c:pt idx="60">
                  <c:v>12948</c:v>
                </c:pt>
                <c:pt idx="61">
                  <c:v>9857</c:v>
                </c:pt>
                <c:pt idx="62">
                  <c:v>9913</c:v>
                </c:pt>
                <c:pt idx="63">
                  <c:v>10876</c:v>
                </c:pt>
                <c:pt idx="64">
                  <c:v>17431</c:v>
                </c:pt>
                <c:pt idx="65">
                  <c:v>13185</c:v>
                </c:pt>
                <c:pt idx="66">
                  <c:v>12834</c:v>
                </c:pt>
                <c:pt idx="67">
                  <c:v>13805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8-4CC1-A23E-7D4ED72CB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651552"/>
        <c:axId val="277651160"/>
      </c:scatterChart>
      <c:valAx>
        <c:axId val="2776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51160"/>
        <c:crosses val="autoZero"/>
        <c:crossBetween val="midCat"/>
      </c:valAx>
      <c:valAx>
        <c:axId val="2776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5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1228725</xdr:colOff>
      <xdr:row>8</xdr:row>
      <xdr:rowOff>22861</xdr:rowOff>
    </xdr:from>
    <xdr:to>
      <xdr:col>11</xdr:col>
      <xdr:colOff>137160</xdr:colOff>
      <xdr:row>22</xdr:row>
      <xdr:rowOff>175261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855345</xdr:colOff>
      <xdr:row>0</xdr:row>
      <xdr:rowOff>180976</xdr:rowOff>
    </xdr:from>
    <xdr:to>
      <xdr:col>16</xdr:col>
      <xdr:colOff>210820</xdr:colOff>
      <xdr:row>11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CD4E59CF-B078-4A30-87E9-65E89F1F544B}"/>
            </a:ext>
          </a:extLst>
        </xdr:cNvPr>
        <xdr:cNvSpPr txBox="1"/>
      </xdr:nvSpPr>
      <xdr:spPr>
        <a:xfrm>
          <a:off x="8757285" y="180976"/>
          <a:ext cx="7775575" cy="2112644"/>
        </a:xfrm>
        <a:prstGeom prst="rect">
          <a:avLst/>
        </a:prstGeom>
        <a:solidFill>
          <a:srgbClr val="DDEB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Lab 3: Conduct time series analysis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400" b="1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About this dataset</a:t>
          </a:r>
          <a:endParaRPr kumimoji="0" lang="en-GB" sz="14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>
              <a:solidFill>
                <a:srgbClr val="002060"/>
              </a:solidFill>
              <a:latin typeface="+mn-lt"/>
            </a:rPr>
            <a:t>A time series containing average monthly air temperatures at Nottingham Castle in degrees Fahrenheit for 20 years</a:t>
          </a:r>
          <a:r>
            <a:rPr lang="en-GB" sz="1400" baseline="0">
              <a:solidFill>
                <a:srgbClr val="002060"/>
              </a:solidFill>
              <a:latin typeface="+mn-lt"/>
            </a:rPr>
            <a:t>, from</a:t>
          </a:r>
          <a:r>
            <a:rPr kumimoji="0" lang="en-GB" sz="14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 1920 to 1939</a:t>
          </a:r>
        </a:p>
        <a:p>
          <a:endParaRPr lang="en-GB" sz="1400">
            <a:solidFill>
              <a:srgbClr val="002060"/>
            </a:solidFill>
            <a:latin typeface="+mn-lt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Brief: 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Conduct a time series forecast on the  'Nottingham Air Temperatures' dataset using the moving average technique.</a:t>
          </a:r>
          <a:endParaRPr lang="en-GB" sz="1400">
            <a:solidFill>
              <a:srgbClr val="002060"/>
            </a:solidFill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314326</xdr:colOff>
      <xdr:row>0</xdr:row>
      <xdr:rowOff>99060</xdr:rowOff>
    </xdr:from>
    <xdr:to>
      <xdr:col>11</xdr:col>
      <xdr:colOff>228601</xdr:colOff>
      <xdr:row>4</xdr:row>
      <xdr:rowOff>62589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3686" y="99060"/>
          <a:ext cx="3068955" cy="756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297180</xdr:colOff>
      <xdr:row>2</xdr:row>
      <xdr:rowOff>95250</xdr:rowOff>
    </xdr:from>
    <xdr:to>
      <xdr:col>10</xdr:col>
      <xdr:colOff>106680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6398E-17C7-B365-5432-818D14740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</xdr:row>
      <xdr:rowOff>1</xdr:rowOff>
    </xdr:from>
    <xdr:to>
      <xdr:col>16</xdr:col>
      <xdr:colOff>590550</xdr:colOff>
      <xdr:row>15</xdr:row>
      <xdr:rowOff>190501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8505825" y="952501"/>
          <a:ext cx="5457825" cy="2190750"/>
        </a:xfrm>
        <a:prstGeom prst="rect">
          <a:avLst/>
        </a:prstGeom>
        <a:solidFill>
          <a:srgbClr val="DDEB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en-GB" sz="1400" b="1" u="none" baseline="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Lab 3: Conduct time series analysis </a:t>
          </a:r>
          <a:endParaRPr lang="en-GB" sz="1400" b="1" u="none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endParaRPr lang="en-GB" sz="1400" b="1" u="none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GB" sz="1400" b="1" u="none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About this dataset</a:t>
          </a:r>
          <a:endParaRPr lang="en-GB" sz="1400" u="none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Monthly totals of international airline passengers, from 1949 to 1960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 monthly time series, in thousands.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Brief: </a:t>
          </a:r>
          <a:r>
            <a:rPr lang="en-GB" sz="1400" b="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onduct a time series forecast on</a:t>
          </a:r>
          <a:r>
            <a:rPr lang="en-GB" sz="1400" baseline="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the</a:t>
          </a:r>
          <a:r>
            <a:rPr lang="en-GB" sz="1400">
              <a:solidFill>
                <a:srgbClr val="00206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'Air Passengers' dataset using the moving average technique.</a:t>
          </a:r>
        </a:p>
      </xdr:txBody>
    </xdr:sp>
    <xdr:clientData/>
  </xdr:twoCellAnchor>
  <xdr:twoCellAnchor>
    <xdr:from>
      <xdr:col>2</xdr:col>
      <xdr:colOff>571500</xdr:colOff>
      <xdr:row>1</xdr:row>
      <xdr:rowOff>169545</xdr:rowOff>
    </xdr:from>
    <xdr:to>
      <xdr:col>6</xdr:col>
      <xdr:colOff>1013460</xdr:colOff>
      <xdr:row>16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  <a:ext uri="{147F2762-F138-4A5C-976F-8EAC2B608ADB}">
              <a16:predDERef xmlns:a16="http://schemas.microsoft.com/office/drawing/2014/main" pred="{479B5E93-2DF5-408E-9B84-5D90A5246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57151</xdr:colOff>
      <xdr:row>0</xdr:row>
      <xdr:rowOff>0</xdr:rowOff>
    </xdr:from>
    <xdr:to>
      <xdr:col>13</xdr:col>
      <xdr:colOff>57151</xdr:colOff>
      <xdr:row>3</xdr:row>
      <xdr:rowOff>161649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1" y="0"/>
          <a:ext cx="3048000" cy="733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998220</xdr:colOff>
      <xdr:row>95</xdr:row>
      <xdr:rowOff>87630</xdr:rowOff>
    </xdr:from>
    <xdr:to>
      <xdr:col>8</xdr:col>
      <xdr:colOff>381000</xdr:colOff>
      <xdr:row>109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F6945-047A-F928-73C4-DF334DEDF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419100</xdr:colOff>
      <xdr:row>18</xdr:row>
      <xdr:rowOff>156210</xdr:rowOff>
    </xdr:from>
    <xdr:to>
      <xdr:col>6</xdr:col>
      <xdr:colOff>274320</xdr:colOff>
      <xdr:row>34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4C3767-93FF-5FD2-8E58-2E18A7CEE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</xdr:row>
      <xdr:rowOff>38100</xdr:rowOff>
    </xdr:from>
    <xdr:to>
      <xdr:col>17</xdr:col>
      <xdr:colOff>47625</xdr:colOff>
      <xdr:row>23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077200" y="1028700"/>
          <a:ext cx="4838700" cy="3571875"/>
        </a:xfrm>
        <a:prstGeom prst="rect">
          <a:avLst/>
        </a:prstGeom>
        <a:solidFill>
          <a:srgbClr val="DDEB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Lab 3: Conduct time series analysis - Optional task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400" b="1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About this dataset</a:t>
          </a:r>
          <a:endParaRPr kumimoji="0" lang="en-GB" sz="14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GB" sz="1400">
              <a:solidFill>
                <a:srgbClr val="002060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GB" sz="1400">
              <a:solidFill>
                <a:srgbClr val="002060"/>
              </a:solidFill>
              <a:latin typeface="+mn-lt"/>
            </a:rPr>
            <a:t>Amazon revenue in millions, from 1995 to 2012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400">
              <a:solidFill>
                <a:srgbClr val="002060"/>
              </a:solidFill>
              <a:latin typeface="+mn-lt"/>
            </a:rPr>
            <a:t>Yearly time</a:t>
          </a:r>
          <a:r>
            <a:rPr lang="en-GB" sz="1400" baseline="0">
              <a:solidFill>
                <a:srgbClr val="002060"/>
              </a:solidFill>
              <a:latin typeface="+mn-lt"/>
            </a:rPr>
            <a:t> series data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400" baseline="0">
              <a:solidFill>
                <a:srgbClr val="002060"/>
              </a:solidFill>
              <a:latin typeface="+mn-lt"/>
            </a:rPr>
            <a:t>Data arranged by quarters</a:t>
          </a:r>
        </a:p>
        <a:p>
          <a:endParaRPr lang="en-GB" sz="1400" baseline="0">
            <a:solidFill>
              <a:srgbClr val="002060"/>
            </a:solidFill>
            <a:latin typeface="+mn-lt"/>
          </a:endParaRPr>
        </a:p>
        <a:p>
          <a:r>
            <a:rPr lang="en-GB" sz="14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Beginning and end dates for each quarter: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First quarter:</a:t>
          </a:r>
          <a:r>
            <a:rPr lang="en-GB" sz="1400" b="0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1st January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– 31st March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Second quarter:</a:t>
          </a:r>
          <a:r>
            <a:rPr lang="en-GB" sz="1400" b="0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1st April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– 30th</a:t>
          </a:r>
          <a:r>
            <a:rPr lang="en-GB" sz="1400" b="0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June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Third quarter: 1st</a:t>
          </a:r>
          <a:r>
            <a:rPr lang="en-GB" sz="1400" b="0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July 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–  30th September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Fourth quarter:</a:t>
          </a:r>
          <a:r>
            <a:rPr lang="en-GB" sz="1400" b="0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1st </a:t>
          </a:r>
          <a:r>
            <a:rPr lang="en-GB" sz="14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October –  31st December</a:t>
          </a:r>
        </a:p>
        <a:p>
          <a:endParaRPr lang="en-GB" sz="1400">
            <a:solidFill>
              <a:srgbClr val="002060"/>
            </a:solidFill>
            <a:latin typeface="+mn-lt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206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Brief: </a:t>
          </a:r>
          <a:r>
            <a:rPr lang="en-GB" sz="1400" b="0">
              <a:solidFill>
                <a:srgbClr val="00206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Conduct a time series forecast on the 'Amazon</a:t>
          </a:r>
          <a:r>
            <a:rPr lang="en-GB" sz="1400" b="0" baseline="0">
              <a:solidFill>
                <a:srgbClr val="00206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 Revenue</a:t>
          </a:r>
          <a:r>
            <a:rPr lang="en-GB" sz="1400" b="0">
              <a:solidFill>
                <a:srgbClr val="002060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' dataset using the moving average technique.</a:t>
          </a:r>
          <a:endParaRPr lang="en-GB" sz="1400">
            <a:solidFill>
              <a:srgbClr val="002060"/>
            </a:solidFill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9525</xdr:colOff>
      <xdr:row>24</xdr:row>
      <xdr:rowOff>0</xdr:rowOff>
    </xdr:from>
    <xdr:to>
      <xdr:col>18</xdr:col>
      <xdr:colOff>432859</xdr:colOff>
      <xdr:row>38</xdr:row>
      <xdr:rowOff>122768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EA155D15-1022-4B28-9856-514A3EAD7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28575</xdr:colOff>
      <xdr:row>0</xdr:row>
      <xdr:rowOff>85725</xdr:rowOff>
    </xdr:from>
    <xdr:to>
      <xdr:col>13</xdr:col>
      <xdr:colOff>409575</xdr:colOff>
      <xdr:row>4</xdr:row>
      <xdr:rowOff>18774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85725"/>
          <a:ext cx="3048000" cy="733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:N241"/>
  <sheetViews>
    <sheetView workbookViewId="0">
      <selection activeCell="D219" sqref="D1:D1048576"/>
    </sheetView>
  </sheetViews>
  <sheetFormatPr defaultRowHeight="15.6" x14ac:dyDescent="0.3"/>
  <cols>
    <col min="1" max="1" width="12" style="3" customWidth="1"/>
    <col min="2" max="2" width="22.88671875" customWidth="1"/>
    <col min="3" max="3" width="20.109375" style="1" customWidth="1"/>
    <col min="4" max="4" width="25.88671875" style="1" bestFit="1" customWidth="1"/>
    <col min="5" max="5" width="23.44140625" style="2" customWidth="1"/>
    <col min="6" max="6" width="32.33203125" bestFit="1" customWidth="1"/>
    <col min="7" max="7" width="10.44140625" customWidth="1"/>
  </cols>
  <sheetData>
    <row r="1" spans="1:14" ht="15.6" customHeight="1" x14ac:dyDescent="0.3">
      <c r="A1" s="3" t="s">
        <v>0</v>
      </c>
      <c r="B1" t="s">
        <v>1</v>
      </c>
      <c r="C1" s="1" t="s">
        <v>2</v>
      </c>
      <c r="D1" s="1" t="s">
        <v>3</v>
      </c>
      <c r="E1" s="11" t="s">
        <v>4</v>
      </c>
      <c r="G1" s="9"/>
      <c r="H1" s="9"/>
      <c r="I1" s="9"/>
      <c r="J1" s="9"/>
      <c r="K1" s="9"/>
      <c r="L1" s="9"/>
      <c r="M1" s="9"/>
      <c r="N1" s="9"/>
    </row>
    <row r="2" spans="1:14" ht="15.6" customHeight="1" x14ac:dyDescent="0.3">
      <c r="A2" s="3" t="s">
        <v>5</v>
      </c>
      <c r="B2" s="6">
        <v>7306</v>
      </c>
      <c r="C2" s="1">
        <v>1</v>
      </c>
      <c r="D2" s="1">
        <v>40.6</v>
      </c>
      <c r="F2" s="2"/>
      <c r="G2" s="9"/>
      <c r="H2" s="9"/>
      <c r="I2" s="9"/>
      <c r="J2" s="9"/>
      <c r="K2" s="9"/>
      <c r="L2" s="9"/>
      <c r="M2" s="9"/>
      <c r="N2" s="9"/>
    </row>
    <row r="3" spans="1:14" ht="15.6" customHeight="1" x14ac:dyDescent="0.3">
      <c r="A3" s="3" t="s">
        <v>6</v>
      </c>
      <c r="B3" s="6">
        <v>7337</v>
      </c>
      <c r="C3" s="1">
        <v>2</v>
      </c>
      <c r="D3" s="1">
        <v>40.799999999999997</v>
      </c>
      <c r="F3" s="2"/>
      <c r="G3" s="9"/>
      <c r="H3" s="9"/>
      <c r="I3" s="9"/>
      <c r="J3" s="9"/>
      <c r="K3" s="9"/>
      <c r="L3" s="9"/>
      <c r="M3" s="9"/>
      <c r="N3" s="9"/>
    </row>
    <row r="4" spans="1:14" ht="15.6" customHeight="1" x14ac:dyDescent="0.3">
      <c r="A4" s="3" t="s">
        <v>7</v>
      </c>
      <c r="B4" s="6">
        <v>7366</v>
      </c>
      <c r="C4" s="1">
        <v>3</v>
      </c>
      <c r="D4" s="1">
        <v>44.4</v>
      </c>
      <c r="E4" s="12">
        <f>AVERAGE(D2:D4)</f>
        <v>41.933333333333337</v>
      </c>
      <c r="F4" s="2"/>
      <c r="G4" s="9"/>
      <c r="H4" s="9"/>
      <c r="I4" s="9"/>
      <c r="J4" s="9"/>
      <c r="K4" s="9"/>
      <c r="L4" s="9"/>
      <c r="M4" s="9"/>
      <c r="N4" s="9"/>
    </row>
    <row r="5" spans="1:14" ht="15.6" customHeight="1" x14ac:dyDescent="0.3">
      <c r="A5" s="3" t="s">
        <v>8</v>
      </c>
      <c r="B5" s="6">
        <v>7397</v>
      </c>
      <c r="C5" s="1">
        <v>4</v>
      </c>
      <c r="D5" s="1">
        <v>46.7</v>
      </c>
      <c r="E5" s="12">
        <f t="shared" ref="E5:E68" si="0">AVERAGE(D3:D5)</f>
        <v>43.966666666666661</v>
      </c>
    </row>
    <row r="6" spans="1:14" x14ac:dyDescent="0.3">
      <c r="A6" s="3" t="s">
        <v>9</v>
      </c>
      <c r="B6" s="6">
        <v>7427</v>
      </c>
      <c r="C6" s="1">
        <v>5</v>
      </c>
      <c r="D6" s="1">
        <v>54.1</v>
      </c>
      <c r="E6" s="12">
        <f t="shared" si="0"/>
        <v>48.4</v>
      </c>
    </row>
    <row r="7" spans="1:14" x14ac:dyDescent="0.3">
      <c r="A7" s="3" t="s">
        <v>10</v>
      </c>
      <c r="B7" s="6">
        <v>7458</v>
      </c>
      <c r="C7" s="1">
        <v>6</v>
      </c>
      <c r="D7" s="1">
        <v>58.5</v>
      </c>
      <c r="E7" s="12">
        <f t="shared" si="0"/>
        <v>53.1</v>
      </c>
    </row>
    <row r="8" spans="1:14" x14ac:dyDescent="0.3">
      <c r="A8" s="3" t="s">
        <v>11</v>
      </c>
      <c r="B8" s="6">
        <v>7488</v>
      </c>
      <c r="C8" s="1">
        <v>7</v>
      </c>
      <c r="D8" s="1">
        <v>57.7</v>
      </c>
      <c r="E8" s="12">
        <f t="shared" si="0"/>
        <v>56.766666666666673</v>
      </c>
    </row>
    <row r="9" spans="1:14" x14ac:dyDescent="0.3">
      <c r="A9" s="3" t="s">
        <v>12</v>
      </c>
      <c r="B9" s="6">
        <v>7519</v>
      </c>
      <c r="C9" s="1">
        <v>8</v>
      </c>
      <c r="D9" s="1">
        <v>56.4</v>
      </c>
      <c r="E9" s="12">
        <f t="shared" si="0"/>
        <v>57.533333333333331</v>
      </c>
    </row>
    <row r="10" spans="1:14" x14ac:dyDescent="0.3">
      <c r="A10" s="3" t="s">
        <v>13</v>
      </c>
      <c r="B10" s="6">
        <v>7550</v>
      </c>
      <c r="C10" s="1">
        <v>9</v>
      </c>
      <c r="D10" s="1">
        <v>54.3</v>
      </c>
      <c r="E10" s="12">
        <f t="shared" si="0"/>
        <v>56.133333333333326</v>
      </c>
    </row>
    <row r="11" spans="1:14" x14ac:dyDescent="0.3">
      <c r="A11" s="3" t="s">
        <v>14</v>
      </c>
      <c r="B11" s="6">
        <v>7580</v>
      </c>
      <c r="C11" s="1">
        <v>10</v>
      </c>
      <c r="D11" s="1">
        <v>50.5</v>
      </c>
      <c r="E11" s="12">
        <f t="shared" si="0"/>
        <v>53.733333333333327</v>
      </c>
    </row>
    <row r="12" spans="1:14" x14ac:dyDescent="0.3">
      <c r="A12" s="3" t="s">
        <v>15</v>
      </c>
      <c r="B12" s="6">
        <v>7611</v>
      </c>
      <c r="C12" s="1">
        <v>11</v>
      </c>
      <c r="D12" s="1">
        <v>42.9</v>
      </c>
      <c r="E12" s="12">
        <f t="shared" si="0"/>
        <v>49.233333333333327</v>
      </c>
    </row>
    <row r="13" spans="1:14" x14ac:dyDescent="0.3">
      <c r="A13" s="3" t="s">
        <v>16</v>
      </c>
      <c r="B13" s="6">
        <v>7641</v>
      </c>
      <c r="C13" s="1">
        <v>12</v>
      </c>
      <c r="D13" s="1">
        <v>39.799999999999997</v>
      </c>
      <c r="E13" s="12">
        <f t="shared" si="0"/>
        <v>44.4</v>
      </c>
    </row>
    <row r="14" spans="1:14" x14ac:dyDescent="0.3">
      <c r="A14" s="3" t="s">
        <v>17</v>
      </c>
      <c r="B14" s="6">
        <v>7672</v>
      </c>
      <c r="C14" s="1">
        <v>13</v>
      </c>
      <c r="D14" s="1">
        <v>44.2</v>
      </c>
      <c r="E14" s="12">
        <f t="shared" si="0"/>
        <v>42.3</v>
      </c>
    </row>
    <row r="15" spans="1:14" x14ac:dyDescent="0.3">
      <c r="A15" s="3" t="s">
        <v>18</v>
      </c>
      <c r="B15" s="6">
        <v>7703</v>
      </c>
      <c r="C15" s="1">
        <v>14</v>
      </c>
      <c r="D15" s="1">
        <v>39.799999999999997</v>
      </c>
      <c r="E15" s="12">
        <f t="shared" si="0"/>
        <v>41.266666666666666</v>
      </c>
    </row>
    <row r="16" spans="1:14" x14ac:dyDescent="0.3">
      <c r="A16" s="3" t="s">
        <v>19</v>
      </c>
      <c r="B16" s="6">
        <v>7731</v>
      </c>
      <c r="C16" s="1">
        <v>15</v>
      </c>
      <c r="D16" s="1">
        <v>45.1</v>
      </c>
      <c r="E16" s="12">
        <f t="shared" si="0"/>
        <v>43.033333333333331</v>
      </c>
    </row>
    <row r="17" spans="1:5" x14ac:dyDescent="0.3">
      <c r="A17" s="3" t="s">
        <v>20</v>
      </c>
      <c r="B17" s="6">
        <v>7762</v>
      </c>
      <c r="C17" s="1">
        <v>16</v>
      </c>
      <c r="D17" s="1">
        <v>47</v>
      </c>
      <c r="E17" s="12">
        <f t="shared" si="0"/>
        <v>43.966666666666669</v>
      </c>
    </row>
    <row r="18" spans="1:5" x14ac:dyDescent="0.3">
      <c r="A18" s="3" t="s">
        <v>21</v>
      </c>
      <c r="B18" s="6">
        <v>7792</v>
      </c>
      <c r="C18" s="1">
        <v>17</v>
      </c>
      <c r="D18" s="1">
        <v>54.1</v>
      </c>
      <c r="E18" s="12">
        <f t="shared" si="0"/>
        <v>48.733333333333327</v>
      </c>
    </row>
    <row r="19" spans="1:5" x14ac:dyDescent="0.3">
      <c r="A19" s="3" t="s">
        <v>22</v>
      </c>
      <c r="B19" s="6">
        <v>7823</v>
      </c>
      <c r="C19" s="1">
        <v>18</v>
      </c>
      <c r="D19" s="1">
        <v>58.7</v>
      </c>
      <c r="E19" s="12">
        <f t="shared" si="0"/>
        <v>53.266666666666673</v>
      </c>
    </row>
    <row r="20" spans="1:5" x14ac:dyDescent="0.3">
      <c r="A20" s="3" t="s">
        <v>23</v>
      </c>
      <c r="B20" s="6">
        <v>7853</v>
      </c>
      <c r="C20" s="1">
        <v>19</v>
      </c>
      <c r="D20" s="1">
        <v>66.3</v>
      </c>
      <c r="E20" s="12">
        <f t="shared" si="0"/>
        <v>59.70000000000001</v>
      </c>
    </row>
    <row r="21" spans="1:5" x14ac:dyDescent="0.3">
      <c r="A21" s="3" t="s">
        <v>24</v>
      </c>
      <c r="B21" s="6">
        <v>7884</v>
      </c>
      <c r="C21" s="1">
        <v>20</v>
      </c>
      <c r="D21" s="1">
        <v>59.9</v>
      </c>
      <c r="E21" s="12">
        <f t="shared" si="0"/>
        <v>61.633333333333333</v>
      </c>
    </row>
    <row r="22" spans="1:5" x14ac:dyDescent="0.3">
      <c r="A22" s="3" t="s">
        <v>25</v>
      </c>
      <c r="B22" s="6">
        <v>7915</v>
      </c>
      <c r="C22" s="1">
        <v>21</v>
      </c>
      <c r="D22" s="1">
        <v>57</v>
      </c>
      <c r="E22" s="12">
        <f t="shared" si="0"/>
        <v>61.066666666666663</v>
      </c>
    </row>
    <row r="23" spans="1:5" x14ac:dyDescent="0.3">
      <c r="A23" s="3" t="s">
        <v>26</v>
      </c>
      <c r="B23" s="6">
        <v>7945</v>
      </c>
      <c r="C23" s="1">
        <v>22</v>
      </c>
      <c r="D23" s="1">
        <v>54.2</v>
      </c>
      <c r="E23" s="12">
        <f t="shared" si="0"/>
        <v>57.033333333333339</v>
      </c>
    </row>
    <row r="24" spans="1:5" x14ac:dyDescent="0.3">
      <c r="A24" s="3" t="s">
        <v>27</v>
      </c>
      <c r="B24" s="6">
        <v>7976</v>
      </c>
      <c r="C24" s="1">
        <v>23</v>
      </c>
      <c r="D24" s="1">
        <v>39.700000000000003</v>
      </c>
      <c r="E24" s="12">
        <f t="shared" si="0"/>
        <v>50.300000000000004</v>
      </c>
    </row>
    <row r="25" spans="1:5" x14ac:dyDescent="0.3">
      <c r="A25" s="3" t="s">
        <v>28</v>
      </c>
      <c r="B25" s="6">
        <v>8006</v>
      </c>
      <c r="C25" s="1">
        <v>24</v>
      </c>
      <c r="D25" s="1">
        <v>42.8</v>
      </c>
      <c r="E25" s="12">
        <f t="shared" si="0"/>
        <v>45.566666666666663</v>
      </c>
    </row>
    <row r="26" spans="1:5" x14ac:dyDescent="0.3">
      <c r="A26" s="3" t="s">
        <v>29</v>
      </c>
      <c r="B26" s="6">
        <v>8037</v>
      </c>
      <c r="C26" s="1">
        <v>25</v>
      </c>
      <c r="D26" s="1">
        <v>37.5</v>
      </c>
      <c r="E26" s="12">
        <f t="shared" si="0"/>
        <v>40</v>
      </c>
    </row>
    <row r="27" spans="1:5" x14ac:dyDescent="0.3">
      <c r="A27" s="3" t="s">
        <v>30</v>
      </c>
      <c r="B27" s="6">
        <v>8068</v>
      </c>
      <c r="C27" s="1">
        <v>26</v>
      </c>
      <c r="D27" s="1">
        <v>38.700000000000003</v>
      </c>
      <c r="E27" s="12">
        <f t="shared" si="0"/>
        <v>39.666666666666664</v>
      </c>
    </row>
    <row r="28" spans="1:5" x14ac:dyDescent="0.3">
      <c r="A28" s="3" t="s">
        <v>31</v>
      </c>
      <c r="B28" s="6">
        <v>8096</v>
      </c>
      <c r="C28" s="1">
        <v>27</v>
      </c>
      <c r="D28" s="1">
        <v>39.5</v>
      </c>
      <c r="E28" s="12">
        <f t="shared" si="0"/>
        <v>38.56666666666667</v>
      </c>
    </row>
    <row r="29" spans="1:5" x14ac:dyDescent="0.3">
      <c r="A29" s="3" t="s">
        <v>32</v>
      </c>
      <c r="B29" s="6">
        <v>8127</v>
      </c>
      <c r="C29" s="1">
        <v>28</v>
      </c>
      <c r="D29" s="1">
        <v>42.1</v>
      </c>
      <c r="E29" s="12">
        <f t="shared" si="0"/>
        <v>40.1</v>
      </c>
    </row>
    <row r="30" spans="1:5" x14ac:dyDescent="0.3">
      <c r="A30" s="3" t="s">
        <v>33</v>
      </c>
      <c r="B30" s="6">
        <v>8157</v>
      </c>
      <c r="C30" s="1">
        <v>29</v>
      </c>
      <c r="D30" s="1">
        <v>55.7</v>
      </c>
      <c r="E30" s="12">
        <f t="shared" si="0"/>
        <v>45.766666666666673</v>
      </c>
    </row>
    <row r="31" spans="1:5" x14ac:dyDescent="0.3">
      <c r="A31" s="3" t="s">
        <v>34</v>
      </c>
      <c r="B31" s="6">
        <v>8188</v>
      </c>
      <c r="C31" s="1">
        <v>30</v>
      </c>
      <c r="D31" s="1">
        <v>57.8</v>
      </c>
      <c r="E31" s="12">
        <f t="shared" si="0"/>
        <v>51.866666666666674</v>
      </c>
    </row>
    <row r="32" spans="1:5" x14ac:dyDescent="0.3">
      <c r="A32" s="3" t="s">
        <v>35</v>
      </c>
      <c r="B32" s="6">
        <v>8218</v>
      </c>
      <c r="C32" s="1">
        <v>31</v>
      </c>
      <c r="D32" s="1">
        <v>56.8</v>
      </c>
      <c r="E32" s="12">
        <f t="shared" si="0"/>
        <v>56.766666666666673</v>
      </c>
    </row>
    <row r="33" spans="1:5" x14ac:dyDescent="0.3">
      <c r="A33" s="3" t="s">
        <v>36</v>
      </c>
      <c r="B33" s="6">
        <v>8249</v>
      </c>
      <c r="C33" s="1">
        <v>32</v>
      </c>
      <c r="D33" s="1">
        <v>54.3</v>
      </c>
      <c r="E33" s="12">
        <f t="shared" si="0"/>
        <v>56.29999999999999</v>
      </c>
    </row>
    <row r="34" spans="1:5" x14ac:dyDescent="0.3">
      <c r="A34" s="3" t="s">
        <v>37</v>
      </c>
      <c r="B34" s="6">
        <v>8280</v>
      </c>
      <c r="C34" s="1">
        <v>33</v>
      </c>
      <c r="D34" s="1">
        <v>54.3</v>
      </c>
      <c r="E34" s="12">
        <f t="shared" si="0"/>
        <v>55.133333333333326</v>
      </c>
    </row>
    <row r="35" spans="1:5" x14ac:dyDescent="0.3">
      <c r="A35" s="3" t="s">
        <v>38</v>
      </c>
      <c r="B35" s="6">
        <v>8310</v>
      </c>
      <c r="C35" s="1">
        <v>34</v>
      </c>
      <c r="D35" s="1">
        <v>47.1</v>
      </c>
      <c r="E35" s="12">
        <f t="shared" si="0"/>
        <v>51.9</v>
      </c>
    </row>
    <row r="36" spans="1:5" x14ac:dyDescent="0.3">
      <c r="A36" s="3" t="s">
        <v>39</v>
      </c>
      <c r="B36" s="6">
        <v>8341</v>
      </c>
      <c r="C36" s="1">
        <v>35</v>
      </c>
      <c r="D36" s="1">
        <v>41.8</v>
      </c>
      <c r="E36" s="12">
        <f t="shared" si="0"/>
        <v>47.733333333333327</v>
      </c>
    </row>
    <row r="37" spans="1:5" x14ac:dyDescent="0.3">
      <c r="A37" s="3" t="s">
        <v>40</v>
      </c>
      <c r="B37" s="6">
        <v>8371</v>
      </c>
      <c r="C37" s="1">
        <v>36</v>
      </c>
      <c r="D37" s="1">
        <v>41.7</v>
      </c>
      <c r="E37" s="12">
        <f t="shared" si="0"/>
        <v>43.533333333333339</v>
      </c>
    </row>
    <row r="38" spans="1:5" x14ac:dyDescent="0.3">
      <c r="A38" s="3" t="s">
        <v>41</v>
      </c>
      <c r="B38" s="6">
        <v>8402</v>
      </c>
      <c r="C38" s="1">
        <v>37</v>
      </c>
      <c r="D38" s="1">
        <v>41.8</v>
      </c>
      <c r="E38" s="12">
        <f t="shared" si="0"/>
        <v>41.766666666666666</v>
      </c>
    </row>
    <row r="39" spans="1:5" x14ac:dyDescent="0.3">
      <c r="A39" s="3" t="s">
        <v>42</v>
      </c>
      <c r="B39" s="6">
        <v>8433</v>
      </c>
      <c r="C39" s="1">
        <v>38</v>
      </c>
      <c r="D39" s="1">
        <v>40.1</v>
      </c>
      <c r="E39" s="12">
        <f t="shared" si="0"/>
        <v>41.199999999999996</v>
      </c>
    </row>
    <row r="40" spans="1:5" x14ac:dyDescent="0.3">
      <c r="A40" s="3" t="s">
        <v>43</v>
      </c>
      <c r="B40" s="6">
        <v>8461</v>
      </c>
      <c r="C40" s="1">
        <v>39</v>
      </c>
      <c r="D40" s="1">
        <v>42.9</v>
      </c>
      <c r="E40" s="12">
        <f t="shared" si="0"/>
        <v>41.6</v>
      </c>
    </row>
    <row r="41" spans="1:5" x14ac:dyDescent="0.3">
      <c r="A41" s="3" t="s">
        <v>44</v>
      </c>
      <c r="B41" s="6">
        <v>8492</v>
      </c>
      <c r="C41" s="1">
        <v>40</v>
      </c>
      <c r="D41" s="1">
        <v>45.8</v>
      </c>
      <c r="E41" s="12">
        <f t="shared" si="0"/>
        <v>42.933333333333337</v>
      </c>
    </row>
    <row r="42" spans="1:5" x14ac:dyDescent="0.3">
      <c r="A42" s="3" t="s">
        <v>45</v>
      </c>
      <c r="B42" s="6">
        <v>8522</v>
      </c>
      <c r="C42" s="1">
        <v>41</v>
      </c>
      <c r="D42" s="1">
        <v>49.2</v>
      </c>
      <c r="E42" s="12">
        <f t="shared" si="0"/>
        <v>45.966666666666661</v>
      </c>
    </row>
    <row r="43" spans="1:5" x14ac:dyDescent="0.3">
      <c r="A43" s="3" t="s">
        <v>46</v>
      </c>
      <c r="B43" s="6">
        <v>8553</v>
      </c>
      <c r="C43" s="1">
        <v>42</v>
      </c>
      <c r="D43" s="1">
        <v>52.7</v>
      </c>
      <c r="E43" s="12">
        <f t="shared" si="0"/>
        <v>49.233333333333327</v>
      </c>
    </row>
    <row r="44" spans="1:5" x14ac:dyDescent="0.3">
      <c r="A44" s="3" t="s">
        <v>47</v>
      </c>
      <c r="B44" s="6">
        <v>8583</v>
      </c>
      <c r="C44" s="1">
        <v>43</v>
      </c>
      <c r="D44" s="1">
        <v>64.2</v>
      </c>
      <c r="E44" s="12">
        <f t="shared" si="0"/>
        <v>55.366666666666674</v>
      </c>
    </row>
    <row r="45" spans="1:5" x14ac:dyDescent="0.3">
      <c r="A45" s="3" t="s">
        <v>48</v>
      </c>
      <c r="B45" s="6">
        <v>8614</v>
      </c>
      <c r="C45" s="1">
        <v>44</v>
      </c>
      <c r="D45" s="1">
        <v>59.6</v>
      </c>
      <c r="E45" s="12">
        <f t="shared" si="0"/>
        <v>58.833333333333336</v>
      </c>
    </row>
    <row r="46" spans="1:5" x14ac:dyDescent="0.3">
      <c r="A46" s="3" t="s">
        <v>49</v>
      </c>
      <c r="B46" s="6">
        <v>8645</v>
      </c>
      <c r="C46" s="1">
        <v>45</v>
      </c>
      <c r="D46" s="1">
        <v>54.4</v>
      </c>
      <c r="E46" s="12">
        <f t="shared" si="0"/>
        <v>59.400000000000006</v>
      </c>
    </row>
    <row r="47" spans="1:5" x14ac:dyDescent="0.3">
      <c r="A47" s="3" t="s">
        <v>50</v>
      </c>
      <c r="B47" s="6">
        <v>8675</v>
      </c>
      <c r="C47" s="1">
        <v>46</v>
      </c>
      <c r="D47" s="1">
        <v>49.2</v>
      </c>
      <c r="E47" s="12">
        <f t="shared" si="0"/>
        <v>54.4</v>
      </c>
    </row>
    <row r="48" spans="1:5" x14ac:dyDescent="0.3">
      <c r="A48" s="3" t="s">
        <v>51</v>
      </c>
      <c r="B48" s="6">
        <v>8706</v>
      </c>
      <c r="C48" s="1">
        <v>47</v>
      </c>
      <c r="D48" s="1">
        <v>36.299999999999997</v>
      </c>
      <c r="E48" s="12">
        <f t="shared" si="0"/>
        <v>46.633333333333326</v>
      </c>
    </row>
    <row r="49" spans="1:5" x14ac:dyDescent="0.3">
      <c r="A49" s="3" t="s">
        <v>52</v>
      </c>
      <c r="B49" s="6">
        <v>8736</v>
      </c>
      <c r="C49" s="1">
        <v>48</v>
      </c>
      <c r="D49" s="1">
        <v>37.6</v>
      </c>
      <c r="E49" s="12">
        <f t="shared" si="0"/>
        <v>41.033333333333331</v>
      </c>
    </row>
    <row r="50" spans="1:5" x14ac:dyDescent="0.3">
      <c r="A50" s="3" t="s">
        <v>53</v>
      </c>
      <c r="B50" s="6">
        <v>8767</v>
      </c>
      <c r="C50" s="1">
        <v>49</v>
      </c>
      <c r="D50" s="1">
        <v>39.299999999999997</v>
      </c>
      <c r="E50" s="12">
        <f t="shared" si="0"/>
        <v>37.733333333333334</v>
      </c>
    </row>
    <row r="51" spans="1:5" x14ac:dyDescent="0.3">
      <c r="A51" s="3" t="s">
        <v>54</v>
      </c>
      <c r="B51" s="6">
        <v>8798</v>
      </c>
      <c r="C51" s="1">
        <v>50</v>
      </c>
      <c r="D51" s="1">
        <v>37.5</v>
      </c>
      <c r="E51" s="12">
        <f t="shared" si="0"/>
        <v>38.133333333333333</v>
      </c>
    </row>
    <row r="52" spans="1:5" x14ac:dyDescent="0.3">
      <c r="A52" s="3" t="s">
        <v>55</v>
      </c>
      <c r="B52" s="6">
        <v>8827</v>
      </c>
      <c r="C52" s="1">
        <v>51</v>
      </c>
      <c r="D52" s="1">
        <v>38.299999999999997</v>
      </c>
      <c r="E52" s="12">
        <f t="shared" si="0"/>
        <v>38.366666666666667</v>
      </c>
    </row>
    <row r="53" spans="1:5" x14ac:dyDescent="0.3">
      <c r="A53" s="3" t="s">
        <v>56</v>
      </c>
      <c r="B53" s="6">
        <v>8858</v>
      </c>
      <c r="C53" s="1">
        <v>52</v>
      </c>
      <c r="D53" s="1">
        <v>45.5</v>
      </c>
      <c r="E53" s="12">
        <f t="shared" si="0"/>
        <v>40.43333333333333</v>
      </c>
    </row>
    <row r="54" spans="1:5" x14ac:dyDescent="0.3">
      <c r="A54" s="3" t="s">
        <v>57</v>
      </c>
      <c r="B54" s="6">
        <v>8888</v>
      </c>
      <c r="C54" s="1">
        <v>53</v>
      </c>
      <c r="D54" s="1">
        <v>53.2</v>
      </c>
      <c r="E54" s="12">
        <f t="shared" si="0"/>
        <v>45.666666666666664</v>
      </c>
    </row>
    <row r="55" spans="1:5" x14ac:dyDescent="0.3">
      <c r="A55" s="3" t="s">
        <v>58</v>
      </c>
      <c r="B55" s="6">
        <v>8919</v>
      </c>
      <c r="C55" s="1">
        <v>54</v>
      </c>
      <c r="D55" s="1">
        <v>57.7</v>
      </c>
      <c r="E55" s="12">
        <f t="shared" si="0"/>
        <v>52.133333333333333</v>
      </c>
    </row>
    <row r="56" spans="1:5" x14ac:dyDescent="0.3">
      <c r="A56" s="3" t="s">
        <v>59</v>
      </c>
      <c r="B56" s="6">
        <v>8949</v>
      </c>
      <c r="C56" s="1">
        <v>55</v>
      </c>
      <c r="D56" s="1">
        <v>60.8</v>
      </c>
      <c r="E56" s="12">
        <f t="shared" si="0"/>
        <v>57.233333333333327</v>
      </c>
    </row>
    <row r="57" spans="1:5" x14ac:dyDescent="0.3">
      <c r="A57" s="3" t="s">
        <v>60</v>
      </c>
      <c r="B57" s="6">
        <v>8980</v>
      </c>
      <c r="C57" s="1">
        <v>56</v>
      </c>
      <c r="D57" s="1">
        <v>58.2</v>
      </c>
      <c r="E57" s="12">
        <f t="shared" si="0"/>
        <v>58.9</v>
      </c>
    </row>
    <row r="58" spans="1:5" x14ac:dyDescent="0.3">
      <c r="A58" s="3" t="s">
        <v>61</v>
      </c>
      <c r="B58" s="6">
        <v>9011</v>
      </c>
      <c r="C58" s="1">
        <v>57</v>
      </c>
      <c r="D58" s="1">
        <v>56.4</v>
      </c>
      <c r="E58" s="12">
        <f t="shared" si="0"/>
        <v>58.466666666666669</v>
      </c>
    </row>
    <row r="59" spans="1:5" x14ac:dyDescent="0.3">
      <c r="A59" s="3" t="s">
        <v>62</v>
      </c>
      <c r="B59" s="6">
        <v>9041</v>
      </c>
      <c r="C59" s="1">
        <v>58</v>
      </c>
      <c r="D59" s="1">
        <v>49.8</v>
      </c>
      <c r="E59" s="12">
        <f t="shared" si="0"/>
        <v>54.79999999999999</v>
      </c>
    </row>
    <row r="60" spans="1:5" x14ac:dyDescent="0.3">
      <c r="A60" s="3" t="s">
        <v>63</v>
      </c>
      <c r="B60" s="6">
        <v>9072</v>
      </c>
      <c r="C60" s="1">
        <v>59</v>
      </c>
      <c r="D60" s="1">
        <v>44.4</v>
      </c>
      <c r="E60" s="12">
        <f t="shared" si="0"/>
        <v>50.199999999999996</v>
      </c>
    </row>
    <row r="61" spans="1:5" x14ac:dyDescent="0.3">
      <c r="A61" s="3" t="s">
        <v>64</v>
      </c>
      <c r="B61" s="6">
        <v>9102</v>
      </c>
      <c r="C61" s="1">
        <v>60</v>
      </c>
      <c r="D61" s="1">
        <v>43.6</v>
      </c>
      <c r="E61" s="12">
        <f t="shared" si="0"/>
        <v>45.93333333333333</v>
      </c>
    </row>
    <row r="62" spans="1:5" x14ac:dyDescent="0.3">
      <c r="A62" s="3" t="s">
        <v>65</v>
      </c>
      <c r="B62" s="6">
        <v>9133</v>
      </c>
      <c r="C62" s="1">
        <v>61</v>
      </c>
      <c r="D62" s="1">
        <v>40</v>
      </c>
      <c r="E62" s="12">
        <f t="shared" si="0"/>
        <v>42.666666666666664</v>
      </c>
    </row>
    <row r="63" spans="1:5" x14ac:dyDescent="0.3">
      <c r="A63" s="3" t="s">
        <v>66</v>
      </c>
      <c r="B63" s="6">
        <v>9164</v>
      </c>
      <c r="C63" s="1">
        <v>62</v>
      </c>
      <c r="D63" s="1">
        <v>40.5</v>
      </c>
      <c r="E63" s="12">
        <f t="shared" si="0"/>
        <v>41.366666666666667</v>
      </c>
    </row>
    <row r="64" spans="1:5" x14ac:dyDescent="0.3">
      <c r="A64" s="3" t="s">
        <v>67</v>
      </c>
      <c r="B64" s="6">
        <v>9192</v>
      </c>
      <c r="C64" s="1">
        <v>63</v>
      </c>
      <c r="D64" s="1">
        <v>40.799999999999997</v>
      </c>
      <c r="E64" s="12">
        <f t="shared" si="0"/>
        <v>40.43333333333333</v>
      </c>
    </row>
    <row r="65" spans="1:5" x14ac:dyDescent="0.3">
      <c r="A65" s="3" t="s">
        <v>68</v>
      </c>
      <c r="B65" s="6">
        <v>9223</v>
      </c>
      <c r="C65" s="1">
        <v>64</v>
      </c>
      <c r="D65" s="1">
        <v>45.1</v>
      </c>
      <c r="E65" s="12">
        <f t="shared" si="0"/>
        <v>42.133333333333333</v>
      </c>
    </row>
    <row r="66" spans="1:5" x14ac:dyDescent="0.3">
      <c r="A66" s="3" t="s">
        <v>69</v>
      </c>
      <c r="B66" s="6">
        <v>9253</v>
      </c>
      <c r="C66" s="1">
        <v>65</v>
      </c>
      <c r="D66" s="1">
        <v>53.8</v>
      </c>
      <c r="E66" s="12">
        <f t="shared" si="0"/>
        <v>46.566666666666663</v>
      </c>
    </row>
    <row r="67" spans="1:5" x14ac:dyDescent="0.3">
      <c r="A67" s="3" t="s">
        <v>70</v>
      </c>
      <c r="B67" s="6">
        <v>9284</v>
      </c>
      <c r="C67" s="1">
        <v>66</v>
      </c>
      <c r="D67" s="1">
        <v>59.4</v>
      </c>
      <c r="E67" s="12">
        <f t="shared" si="0"/>
        <v>52.766666666666673</v>
      </c>
    </row>
    <row r="68" spans="1:5" x14ac:dyDescent="0.3">
      <c r="A68" s="3" t="s">
        <v>71</v>
      </c>
      <c r="B68" s="6">
        <v>9314</v>
      </c>
      <c r="C68" s="1">
        <v>67</v>
      </c>
      <c r="D68" s="1">
        <v>63.5</v>
      </c>
      <c r="E68" s="12">
        <f t="shared" si="0"/>
        <v>58.9</v>
      </c>
    </row>
    <row r="69" spans="1:5" x14ac:dyDescent="0.3">
      <c r="A69" s="3" t="s">
        <v>72</v>
      </c>
      <c r="B69" s="6">
        <v>9345</v>
      </c>
      <c r="C69" s="1">
        <v>68</v>
      </c>
      <c r="D69" s="1">
        <v>61</v>
      </c>
      <c r="E69" s="12">
        <f t="shared" ref="E69:E132" si="1">AVERAGE(D67:D69)</f>
        <v>61.300000000000004</v>
      </c>
    </row>
    <row r="70" spans="1:5" x14ac:dyDescent="0.3">
      <c r="A70" s="3" t="s">
        <v>73</v>
      </c>
      <c r="B70" s="6">
        <v>9376</v>
      </c>
      <c r="C70" s="1">
        <v>69</v>
      </c>
      <c r="D70" s="1">
        <v>53</v>
      </c>
      <c r="E70" s="12">
        <f t="shared" si="1"/>
        <v>59.166666666666664</v>
      </c>
    </row>
    <row r="71" spans="1:5" x14ac:dyDescent="0.3">
      <c r="A71" s="3" t="s">
        <v>74</v>
      </c>
      <c r="B71" s="6">
        <v>9406</v>
      </c>
      <c r="C71" s="1">
        <v>70</v>
      </c>
      <c r="D71" s="1">
        <v>50</v>
      </c>
      <c r="E71" s="12">
        <f t="shared" si="1"/>
        <v>54.666666666666664</v>
      </c>
    </row>
    <row r="72" spans="1:5" x14ac:dyDescent="0.3">
      <c r="A72" s="3" t="s">
        <v>75</v>
      </c>
      <c r="B72" s="6">
        <v>9437</v>
      </c>
      <c r="C72" s="1">
        <v>71</v>
      </c>
      <c r="D72" s="1">
        <v>38.1</v>
      </c>
      <c r="E72" s="12">
        <f t="shared" si="1"/>
        <v>47.033333333333331</v>
      </c>
    </row>
    <row r="73" spans="1:5" x14ac:dyDescent="0.3">
      <c r="A73" s="3" t="s">
        <v>76</v>
      </c>
      <c r="B73" s="6">
        <v>9467</v>
      </c>
      <c r="C73" s="1">
        <v>72</v>
      </c>
      <c r="D73" s="1">
        <v>36.299999999999997</v>
      </c>
      <c r="E73" s="12">
        <f t="shared" si="1"/>
        <v>41.466666666666661</v>
      </c>
    </row>
    <row r="74" spans="1:5" x14ac:dyDescent="0.3">
      <c r="A74" s="3" t="s">
        <v>77</v>
      </c>
      <c r="B74" s="6">
        <v>9498</v>
      </c>
      <c r="C74" s="1">
        <v>73</v>
      </c>
      <c r="D74" s="1">
        <v>39.200000000000003</v>
      </c>
      <c r="E74" s="12">
        <f t="shared" si="1"/>
        <v>37.866666666666667</v>
      </c>
    </row>
    <row r="75" spans="1:5" x14ac:dyDescent="0.3">
      <c r="A75" s="3" t="s">
        <v>78</v>
      </c>
      <c r="B75" s="6">
        <v>9529</v>
      </c>
      <c r="C75" s="1">
        <v>74</v>
      </c>
      <c r="D75" s="1">
        <v>43.4</v>
      </c>
      <c r="E75" s="12">
        <f t="shared" si="1"/>
        <v>39.633333333333333</v>
      </c>
    </row>
    <row r="76" spans="1:5" x14ac:dyDescent="0.3">
      <c r="A76" s="3" t="s">
        <v>79</v>
      </c>
      <c r="B76" s="6">
        <v>9557</v>
      </c>
      <c r="C76" s="1">
        <v>75</v>
      </c>
      <c r="D76" s="1">
        <v>43.4</v>
      </c>
      <c r="E76" s="12">
        <f t="shared" si="1"/>
        <v>42</v>
      </c>
    </row>
    <row r="77" spans="1:5" x14ac:dyDescent="0.3">
      <c r="A77" s="3" t="s">
        <v>80</v>
      </c>
      <c r="B77" s="6">
        <v>9588</v>
      </c>
      <c r="C77" s="1">
        <v>76</v>
      </c>
      <c r="D77" s="1">
        <v>48.9</v>
      </c>
      <c r="E77" s="12">
        <f t="shared" si="1"/>
        <v>45.233333333333327</v>
      </c>
    </row>
    <row r="78" spans="1:5" x14ac:dyDescent="0.3">
      <c r="A78" s="3" t="s">
        <v>81</v>
      </c>
      <c r="B78" s="6">
        <v>9618</v>
      </c>
      <c r="C78" s="1">
        <v>77</v>
      </c>
      <c r="D78" s="1">
        <v>50.6</v>
      </c>
      <c r="E78" s="12">
        <f t="shared" si="1"/>
        <v>47.633333333333333</v>
      </c>
    </row>
    <row r="79" spans="1:5" x14ac:dyDescent="0.3">
      <c r="A79" s="3" t="s">
        <v>82</v>
      </c>
      <c r="B79" s="6">
        <v>9649</v>
      </c>
      <c r="C79" s="1">
        <v>78</v>
      </c>
      <c r="D79" s="1">
        <v>56.8</v>
      </c>
      <c r="E79" s="12">
        <f t="shared" si="1"/>
        <v>52.1</v>
      </c>
    </row>
    <row r="80" spans="1:5" x14ac:dyDescent="0.3">
      <c r="A80" s="3" t="s">
        <v>83</v>
      </c>
      <c r="B80" s="6">
        <v>9679</v>
      </c>
      <c r="C80" s="1">
        <v>79</v>
      </c>
      <c r="D80" s="1">
        <v>62.5</v>
      </c>
      <c r="E80" s="12">
        <f t="shared" si="1"/>
        <v>56.633333333333333</v>
      </c>
    </row>
    <row r="81" spans="1:5" x14ac:dyDescent="0.3">
      <c r="A81" s="3" t="s">
        <v>84</v>
      </c>
      <c r="B81" s="6">
        <v>9710</v>
      </c>
      <c r="C81" s="1">
        <v>80</v>
      </c>
      <c r="D81" s="1">
        <v>62</v>
      </c>
      <c r="E81" s="12">
        <f t="shared" si="1"/>
        <v>60.433333333333337</v>
      </c>
    </row>
    <row r="82" spans="1:5" x14ac:dyDescent="0.3">
      <c r="A82" s="3" t="s">
        <v>85</v>
      </c>
      <c r="B82" s="6">
        <v>9741</v>
      </c>
      <c r="C82" s="1">
        <v>81</v>
      </c>
      <c r="D82" s="1">
        <v>57.5</v>
      </c>
      <c r="E82" s="12">
        <f t="shared" si="1"/>
        <v>60.666666666666664</v>
      </c>
    </row>
    <row r="83" spans="1:5" x14ac:dyDescent="0.3">
      <c r="A83" s="3" t="s">
        <v>86</v>
      </c>
      <c r="B83" s="6">
        <v>9771</v>
      </c>
      <c r="C83" s="1">
        <v>82</v>
      </c>
      <c r="D83" s="1">
        <v>46.7</v>
      </c>
      <c r="E83" s="12">
        <f t="shared" si="1"/>
        <v>55.4</v>
      </c>
    </row>
    <row r="84" spans="1:5" x14ac:dyDescent="0.3">
      <c r="A84" s="3" t="s">
        <v>87</v>
      </c>
      <c r="B84" s="6">
        <v>9802</v>
      </c>
      <c r="C84" s="1">
        <v>83</v>
      </c>
      <c r="D84" s="1">
        <v>41.6</v>
      </c>
      <c r="E84" s="12">
        <f t="shared" si="1"/>
        <v>48.6</v>
      </c>
    </row>
    <row r="85" spans="1:5" x14ac:dyDescent="0.3">
      <c r="A85" s="3" t="s">
        <v>88</v>
      </c>
      <c r="B85" s="6">
        <v>9832</v>
      </c>
      <c r="C85" s="1">
        <v>84</v>
      </c>
      <c r="D85" s="1">
        <v>39.799999999999997</v>
      </c>
      <c r="E85" s="12">
        <f t="shared" si="1"/>
        <v>42.70000000000001</v>
      </c>
    </row>
    <row r="86" spans="1:5" x14ac:dyDescent="0.3">
      <c r="A86" s="3" t="s">
        <v>89</v>
      </c>
      <c r="B86" s="6">
        <v>9863</v>
      </c>
      <c r="C86" s="1">
        <v>85</v>
      </c>
      <c r="D86" s="1">
        <v>39.4</v>
      </c>
      <c r="E86" s="12">
        <f t="shared" si="1"/>
        <v>40.266666666666673</v>
      </c>
    </row>
    <row r="87" spans="1:5" x14ac:dyDescent="0.3">
      <c r="A87" s="3" t="s">
        <v>90</v>
      </c>
      <c r="B87" s="6">
        <v>9894</v>
      </c>
      <c r="C87" s="1">
        <v>86</v>
      </c>
      <c r="D87" s="1">
        <v>38.5</v>
      </c>
      <c r="E87" s="12">
        <f t="shared" si="1"/>
        <v>39.233333333333327</v>
      </c>
    </row>
    <row r="88" spans="1:5" x14ac:dyDescent="0.3">
      <c r="A88" s="3" t="s">
        <v>91</v>
      </c>
      <c r="B88" s="6">
        <v>9922</v>
      </c>
      <c r="C88" s="1">
        <v>87</v>
      </c>
      <c r="D88" s="1">
        <v>45.3</v>
      </c>
      <c r="E88" s="12">
        <f t="shared" si="1"/>
        <v>41.06666666666667</v>
      </c>
    </row>
    <row r="89" spans="1:5" x14ac:dyDescent="0.3">
      <c r="A89" s="3" t="s">
        <v>92</v>
      </c>
      <c r="B89" s="6">
        <v>9953</v>
      </c>
      <c r="C89" s="1">
        <v>88</v>
      </c>
      <c r="D89" s="1">
        <v>47.1</v>
      </c>
      <c r="E89" s="12">
        <f t="shared" si="1"/>
        <v>43.633333333333333</v>
      </c>
    </row>
    <row r="90" spans="1:5" x14ac:dyDescent="0.3">
      <c r="A90" s="3" t="s">
        <v>93</v>
      </c>
      <c r="B90" s="6">
        <v>9983</v>
      </c>
      <c r="C90" s="1">
        <v>89</v>
      </c>
      <c r="D90" s="1">
        <v>51.7</v>
      </c>
      <c r="E90" s="12">
        <f t="shared" si="1"/>
        <v>48.033333333333339</v>
      </c>
    </row>
    <row r="91" spans="1:5" x14ac:dyDescent="0.3">
      <c r="A91" s="3" t="s">
        <v>94</v>
      </c>
      <c r="B91" s="6">
        <v>10014</v>
      </c>
      <c r="C91" s="1">
        <v>90</v>
      </c>
      <c r="D91" s="1">
        <v>55</v>
      </c>
      <c r="E91" s="12">
        <f t="shared" si="1"/>
        <v>51.266666666666673</v>
      </c>
    </row>
    <row r="92" spans="1:5" x14ac:dyDescent="0.3">
      <c r="A92" s="3" t="s">
        <v>95</v>
      </c>
      <c r="B92" s="6">
        <v>10044</v>
      </c>
      <c r="C92" s="1">
        <v>91</v>
      </c>
      <c r="D92" s="1">
        <v>60.4</v>
      </c>
      <c r="E92" s="12">
        <f t="shared" si="1"/>
        <v>55.699999999999996</v>
      </c>
    </row>
    <row r="93" spans="1:5" x14ac:dyDescent="0.3">
      <c r="A93" s="3" t="s">
        <v>96</v>
      </c>
      <c r="B93" s="6">
        <v>10075</v>
      </c>
      <c r="C93" s="1">
        <v>92</v>
      </c>
      <c r="D93" s="1">
        <v>60.5</v>
      </c>
      <c r="E93" s="12">
        <f t="shared" si="1"/>
        <v>58.633333333333333</v>
      </c>
    </row>
    <row r="94" spans="1:5" x14ac:dyDescent="0.3">
      <c r="A94" s="3" t="s">
        <v>97</v>
      </c>
      <c r="B94" s="6">
        <v>10106</v>
      </c>
      <c r="C94" s="1">
        <v>93</v>
      </c>
      <c r="D94" s="1">
        <v>54.7</v>
      </c>
      <c r="E94" s="12">
        <f t="shared" si="1"/>
        <v>58.533333333333339</v>
      </c>
    </row>
    <row r="95" spans="1:5" x14ac:dyDescent="0.3">
      <c r="A95" s="3" t="s">
        <v>98</v>
      </c>
      <c r="B95" s="6">
        <v>10136</v>
      </c>
      <c r="C95" s="1">
        <v>94</v>
      </c>
      <c r="D95" s="1">
        <v>50.3</v>
      </c>
      <c r="E95" s="12">
        <f t="shared" si="1"/>
        <v>55.166666666666664</v>
      </c>
    </row>
    <row r="96" spans="1:5" x14ac:dyDescent="0.3">
      <c r="A96" s="3" t="s">
        <v>99</v>
      </c>
      <c r="B96" s="6">
        <v>10167</v>
      </c>
      <c r="C96" s="1">
        <v>95</v>
      </c>
      <c r="D96" s="1">
        <v>42.3</v>
      </c>
      <c r="E96" s="12">
        <f t="shared" si="1"/>
        <v>49.1</v>
      </c>
    </row>
    <row r="97" spans="1:5" x14ac:dyDescent="0.3">
      <c r="A97" s="3" t="s">
        <v>100</v>
      </c>
      <c r="B97" s="6">
        <v>10197</v>
      </c>
      <c r="C97" s="1">
        <v>96</v>
      </c>
      <c r="D97" s="1">
        <v>35.200000000000003</v>
      </c>
      <c r="E97" s="12">
        <f t="shared" si="1"/>
        <v>42.6</v>
      </c>
    </row>
    <row r="98" spans="1:5" x14ac:dyDescent="0.3">
      <c r="A98" s="3" t="s">
        <v>101</v>
      </c>
      <c r="B98" s="6">
        <v>10228</v>
      </c>
      <c r="C98" s="1">
        <v>97</v>
      </c>
      <c r="D98" s="1">
        <v>40.799999999999997</v>
      </c>
      <c r="E98" s="12">
        <f t="shared" si="1"/>
        <v>39.43333333333333</v>
      </c>
    </row>
    <row r="99" spans="1:5" x14ac:dyDescent="0.3">
      <c r="A99" s="3" t="s">
        <v>102</v>
      </c>
      <c r="B99" s="6">
        <v>10259</v>
      </c>
      <c r="C99" s="1">
        <v>98</v>
      </c>
      <c r="D99" s="1">
        <v>41.1</v>
      </c>
      <c r="E99" s="12">
        <f t="shared" si="1"/>
        <v>39.033333333333331</v>
      </c>
    </row>
    <row r="100" spans="1:5" x14ac:dyDescent="0.3">
      <c r="A100" s="3" t="s">
        <v>103</v>
      </c>
      <c r="B100" s="6">
        <v>10288</v>
      </c>
      <c r="C100" s="1">
        <v>99</v>
      </c>
      <c r="D100" s="1">
        <v>42.8</v>
      </c>
      <c r="E100" s="12">
        <f t="shared" si="1"/>
        <v>41.56666666666667</v>
      </c>
    </row>
    <row r="101" spans="1:5" x14ac:dyDescent="0.3">
      <c r="A101" s="3" t="s">
        <v>104</v>
      </c>
      <c r="B101" s="6">
        <v>10319</v>
      </c>
      <c r="C101" s="1">
        <v>100</v>
      </c>
      <c r="D101" s="1">
        <v>47.3</v>
      </c>
      <c r="E101" s="12">
        <f t="shared" si="1"/>
        <v>43.733333333333327</v>
      </c>
    </row>
    <row r="102" spans="1:5" x14ac:dyDescent="0.3">
      <c r="A102" s="3" t="s">
        <v>105</v>
      </c>
      <c r="B102" s="6">
        <v>10349</v>
      </c>
      <c r="C102" s="1">
        <v>101</v>
      </c>
      <c r="D102" s="1">
        <v>50.9</v>
      </c>
      <c r="E102" s="12">
        <f t="shared" si="1"/>
        <v>47</v>
      </c>
    </row>
    <row r="103" spans="1:5" x14ac:dyDescent="0.3">
      <c r="A103" s="3" t="s">
        <v>106</v>
      </c>
      <c r="B103" s="6">
        <v>10380</v>
      </c>
      <c r="C103" s="1">
        <v>102</v>
      </c>
      <c r="D103" s="1">
        <v>56.4</v>
      </c>
      <c r="E103" s="12">
        <f t="shared" si="1"/>
        <v>51.533333333333331</v>
      </c>
    </row>
    <row r="104" spans="1:5" x14ac:dyDescent="0.3">
      <c r="A104" s="3" t="s">
        <v>107</v>
      </c>
      <c r="B104" s="6">
        <v>10410</v>
      </c>
      <c r="C104" s="1">
        <v>103</v>
      </c>
      <c r="D104" s="1">
        <v>62.2</v>
      </c>
      <c r="E104" s="12">
        <f t="shared" si="1"/>
        <v>56.5</v>
      </c>
    </row>
    <row r="105" spans="1:5" x14ac:dyDescent="0.3">
      <c r="A105" s="3" t="s">
        <v>108</v>
      </c>
      <c r="B105" s="6">
        <v>10441</v>
      </c>
      <c r="C105" s="1">
        <v>104</v>
      </c>
      <c r="D105" s="1">
        <v>60.5</v>
      </c>
      <c r="E105" s="12">
        <f t="shared" si="1"/>
        <v>59.699999999999996</v>
      </c>
    </row>
    <row r="106" spans="1:5" x14ac:dyDescent="0.3">
      <c r="A106" s="3" t="s">
        <v>109</v>
      </c>
      <c r="B106" s="6">
        <v>10472</v>
      </c>
      <c r="C106" s="1">
        <v>105</v>
      </c>
      <c r="D106" s="1">
        <v>55.4</v>
      </c>
      <c r="E106" s="12">
        <f t="shared" si="1"/>
        <v>59.366666666666667</v>
      </c>
    </row>
    <row r="107" spans="1:5" x14ac:dyDescent="0.3">
      <c r="A107" s="3" t="s">
        <v>110</v>
      </c>
      <c r="B107" s="6">
        <v>10502</v>
      </c>
      <c r="C107" s="1">
        <v>106</v>
      </c>
      <c r="D107" s="1">
        <v>50.2</v>
      </c>
      <c r="E107" s="12">
        <f t="shared" si="1"/>
        <v>55.366666666666674</v>
      </c>
    </row>
    <row r="108" spans="1:5" x14ac:dyDescent="0.3">
      <c r="A108" s="3" t="s">
        <v>111</v>
      </c>
      <c r="B108" s="6">
        <v>10533</v>
      </c>
      <c r="C108" s="1">
        <v>107</v>
      </c>
      <c r="D108" s="1">
        <v>43</v>
      </c>
      <c r="E108" s="12">
        <f t="shared" si="1"/>
        <v>49.533333333333331</v>
      </c>
    </row>
    <row r="109" spans="1:5" x14ac:dyDescent="0.3">
      <c r="A109" s="3" t="s">
        <v>112</v>
      </c>
      <c r="B109" s="6">
        <v>10563</v>
      </c>
      <c r="C109" s="1">
        <v>108</v>
      </c>
      <c r="D109" s="1">
        <v>37.299999999999997</v>
      </c>
      <c r="E109" s="12">
        <f t="shared" si="1"/>
        <v>43.5</v>
      </c>
    </row>
    <row r="110" spans="1:5" x14ac:dyDescent="0.3">
      <c r="A110" s="3" t="s">
        <v>113</v>
      </c>
      <c r="B110" s="6">
        <v>10594</v>
      </c>
      <c r="C110" s="1">
        <v>109</v>
      </c>
      <c r="D110" s="1">
        <v>34.799999999999997</v>
      </c>
      <c r="E110" s="12">
        <f t="shared" si="1"/>
        <v>38.366666666666667</v>
      </c>
    </row>
    <row r="111" spans="1:5" x14ac:dyDescent="0.3">
      <c r="A111" s="3" t="s">
        <v>114</v>
      </c>
      <c r="B111" s="6">
        <v>10625</v>
      </c>
      <c r="C111" s="1">
        <v>110</v>
      </c>
      <c r="D111" s="1">
        <v>31.3</v>
      </c>
      <c r="E111" s="12">
        <f t="shared" si="1"/>
        <v>34.466666666666661</v>
      </c>
    </row>
    <row r="112" spans="1:5" x14ac:dyDescent="0.3">
      <c r="A112" s="3" t="s">
        <v>115</v>
      </c>
      <c r="B112" s="6">
        <v>10653</v>
      </c>
      <c r="C112" s="1">
        <v>111</v>
      </c>
      <c r="D112" s="1">
        <v>41</v>
      </c>
      <c r="E112" s="12">
        <f t="shared" si="1"/>
        <v>35.699999999999996</v>
      </c>
    </row>
    <row r="113" spans="1:5" x14ac:dyDescent="0.3">
      <c r="A113" s="3" t="s">
        <v>116</v>
      </c>
      <c r="B113" s="6">
        <v>10684</v>
      </c>
      <c r="C113" s="1">
        <v>112</v>
      </c>
      <c r="D113" s="1">
        <v>43.9</v>
      </c>
      <c r="E113" s="12">
        <f t="shared" si="1"/>
        <v>38.733333333333327</v>
      </c>
    </row>
    <row r="114" spans="1:5" x14ac:dyDescent="0.3">
      <c r="A114" s="3" t="s">
        <v>117</v>
      </c>
      <c r="B114" s="6">
        <v>10714</v>
      </c>
      <c r="C114" s="1">
        <v>113</v>
      </c>
      <c r="D114" s="1">
        <v>53.1</v>
      </c>
      <c r="E114" s="12">
        <f t="shared" si="1"/>
        <v>46</v>
      </c>
    </row>
    <row r="115" spans="1:5" x14ac:dyDescent="0.3">
      <c r="A115" s="3" t="s">
        <v>118</v>
      </c>
      <c r="B115" s="6">
        <v>10745</v>
      </c>
      <c r="C115" s="1">
        <v>114</v>
      </c>
      <c r="D115" s="1">
        <v>56.9</v>
      </c>
      <c r="E115" s="12">
        <f t="shared" si="1"/>
        <v>51.300000000000004</v>
      </c>
    </row>
    <row r="116" spans="1:5" x14ac:dyDescent="0.3">
      <c r="A116" s="3" t="s">
        <v>119</v>
      </c>
      <c r="B116" s="6">
        <v>10775</v>
      </c>
      <c r="C116" s="1">
        <v>115</v>
      </c>
      <c r="D116" s="1">
        <v>62.5</v>
      </c>
      <c r="E116" s="12">
        <f t="shared" si="1"/>
        <v>57.5</v>
      </c>
    </row>
    <row r="117" spans="1:5" x14ac:dyDescent="0.3">
      <c r="A117" s="3" t="s">
        <v>120</v>
      </c>
      <c r="B117" s="6">
        <v>10806</v>
      </c>
      <c r="C117" s="1">
        <v>116</v>
      </c>
      <c r="D117" s="1">
        <v>60.3</v>
      </c>
      <c r="E117" s="12">
        <f t="shared" si="1"/>
        <v>59.9</v>
      </c>
    </row>
    <row r="118" spans="1:5" x14ac:dyDescent="0.3">
      <c r="A118" s="3" t="s">
        <v>121</v>
      </c>
      <c r="B118" s="6">
        <v>10837</v>
      </c>
      <c r="C118" s="1">
        <v>117</v>
      </c>
      <c r="D118" s="1">
        <v>59.8</v>
      </c>
      <c r="E118" s="12">
        <f t="shared" si="1"/>
        <v>60.866666666666667</v>
      </c>
    </row>
    <row r="119" spans="1:5" x14ac:dyDescent="0.3">
      <c r="A119" s="3" t="s">
        <v>122</v>
      </c>
      <c r="B119" s="6">
        <v>10867</v>
      </c>
      <c r="C119" s="1">
        <v>118</v>
      </c>
      <c r="D119" s="1">
        <v>49.2</v>
      </c>
      <c r="E119" s="12">
        <f t="shared" si="1"/>
        <v>56.433333333333337</v>
      </c>
    </row>
    <row r="120" spans="1:5" x14ac:dyDescent="0.3">
      <c r="A120" s="3" t="s">
        <v>123</v>
      </c>
      <c r="B120" s="6">
        <v>10898</v>
      </c>
      <c r="C120" s="1">
        <v>119</v>
      </c>
      <c r="D120" s="1">
        <v>42.9</v>
      </c>
      <c r="E120" s="12">
        <f t="shared" si="1"/>
        <v>50.633333333333333</v>
      </c>
    </row>
    <row r="121" spans="1:5" x14ac:dyDescent="0.3">
      <c r="A121" s="3" t="s">
        <v>124</v>
      </c>
      <c r="B121" s="6">
        <v>10928</v>
      </c>
      <c r="C121" s="1">
        <v>120</v>
      </c>
      <c r="D121" s="1">
        <v>41.9</v>
      </c>
      <c r="E121" s="12">
        <f t="shared" si="1"/>
        <v>44.666666666666664</v>
      </c>
    </row>
    <row r="122" spans="1:5" x14ac:dyDescent="0.3">
      <c r="A122" s="3" t="s">
        <v>125</v>
      </c>
      <c r="B122" s="6">
        <v>10959</v>
      </c>
      <c r="C122" s="1">
        <v>121</v>
      </c>
      <c r="D122" s="1">
        <v>41.6</v>
      </c>
      <c r="E122" s="12">
        <f t="shared" si="1"/>
        <v>42.133333333333333</v>
      </c>
    </row>
    <row r="123" spans="1:5" x14ac:dyDescent="0.3">
      <c r="A123" s="3" t="s">
        <v>126</v>
      </c>
      <c r="B123" s="6">
        <v>10990</v>
      </c>
      <c r="C123" s="1">
        <v>122</v>
      </c>
      <c r="D123" s="1">
        <v>37.1</v>
      </c>
      <c r="E123" s="12">
        <f t="shared" si="1"/>
        <v>40.199999999999996</v>
      </c>
    </row>
    <row r="124" spans="1:5" x14ac:dyDescent="0.3">
      <c r="A124" s="3" t="s">
        <v>127</v>
      </c>
      <c r="B124" s="6">
        <v>11018</v>
      </c>
      <c r="C124" s="1">
        <v>123</v>
      </c>
      <c r="D124" s="1">
        <v>41.2</v>
      </c>
      <c r="E124" s="12">
        <f t="shared" si="1"/>
        <v>39.966666666666669</v>
      </c>
    </row>
    <row r="125" spans="1:5" x14ac:dyDescent="0.3">
      <c r="A125" s="3" t="s">
        <v>128</v>
      </c>
      <c r="B125" s="6">
        <v>11049</v>
      </c>
      <c r="C125" s="1">
        <v>124</v>
      </c>
      <c r="D125" s="1">
        <v>46.9</v>
      </c>
      <c r="E125" s="12">
        <f t="shared" si="1"/>
        <v>41.733333333333341</v>
      </c>
    </row>
    <row r="126" spans="1:5" x14ac:dyDescent="0.3">
      <c r="A126" s="3" t="s">
        <v>129</v>
      </c>
      <c r="B126" s="6">
        <v>11079</v>
      </c>
      <c r="C126" s="1">
        <v>125</v>
      </c>
      <c r="D126" s="1">
        <v>51.2</v>
      </c>
      <c r="E126" s="12">
        <f t="shared" si="1"/>
        <v>46.433333333333337</v>
      </c>
    </row>
    <row r="127" spans="1:5" x14ac:dyDescent="0.3">
      <c r="A127" s="3" t="s">
        <v>130</v>
      </c>
      <c r="B127" s="6">
        <v>11110</v>
      </c>
      <c r="C127" s="1">
        <v>126</v>
      </c>
      <c r="D127" s="1">
        <v>60.4</v>
      </c>
      <c r="E127" s="12">
        <f t="shared" si="1"/>
        <v>52.833333333333336</v>
      </c>
    </row>
    <row r="128" spans="1:5" x14ac:dyDescent="0.3">
      <c r="A128" s="3" t="s">
        <v>131</v>
      </c>
      <c r="B128" s="6">
        <v>11140</v>
      </c>
      <c r="C128" s="1">
        <v>127</v>
      </c>
      <c r="D128" s="1">
        <v>60.1</v>
      </c>
      <c r="E128" s="12">
        <f t="shared" si="1"/>
        <v>57.233333333333327</v>
      </c>
    </row>
    <row r="129" spans="1:5" x14ac:dyDescent="0.3">
      <c r="A129" s="3" t="s">
        <v>132</v>
      </c>
      <c r="B129" s="6">
        <v>11171</v>
      </c>
      <c r="C129" s="1">
        <v>128</v>
      </c>
      <c r="D129" s="1">
        <v>61.6</v>
      </c>
      <c r="E129" s="12">
        <f t="shared" si="1"/>
        <v>60.699999999999996</v>
      </c>
    </row>
    <row r="130" spans="1:5" x14ac:dyDescent="0.3">
      <c r="A130" s="3" t="s">
        <v>133</v>
      </c>
      <c r="B130" s="6">
        <v>11202</v>
      </c>
      <c r="C130" s="1">
        <v>129</v>
      </c>
      <c r="D130" s="1">
        <v>57</v>
      </c>
      <c r="E130" s="12">
        <f t="shared" si="1"/>
        <v>59.566666666666663</v>
      </c>
    </row>
    <row r="131" spans="1:5" x14ac:dyDescent="0.3">
      <c r="A131" s="3" t="s">
        <v>134</v>
      </c>
      <c r="B131" s="6">
        <v>11232</v>
      </c>
      <c r="C131" s="1">
        <v>130</v>
      </c>
      <c r="D131" s="1">
        <v>50.9</v>
      </c>
      <c r="E131" s="12">
        <f t="shared" si="1"/>
        <v>56.5</v>
      </c>
    </row>
    <row r="132" spans="1:5" x14ac:dyDescent="0.3">
      <c r="A132" s="3" t="s">
        <v>135</v>
      </c>
      <c r="B132" s="6">
        <v>11263</v>
      </c>
      <c r="C132" s="1">
        <v>131</v>
      </c>
      <c r="D132" s="1">
        <v>43</v>
      </c>
      <c r="E132" s="12">
        <f t="shared" si="1"/>
        <v>50.300000000000004</v>
      </c>
    </row>
    <row r="133" spans="1:5" x14ac:dyDescent="0.3">
      <c r="A133" s="3" t="s">
        <v>136</v>
      </c>
      <c r="B133" s="6">
        <v>11293</v>
      </c>
      <c r="C133" s="1">
        <v>132</v>
      </c>
      <c r="D133" s="1">
        <v>38.799999999999997</v>
      </c>
      <c r="E133" s="12">
        <f t="shared" ref="E133:E196" si="2">AVERAGE(D131:D133)</f>
        <v>44.233333333333327</v>
      </c>
    </row>
    <row r="134" spans="1:5" x14ac:dyDescent="0.3">
      <c r="A134" s="3" t="s">
        <v>137</v>
      </c>
      <c r="B134" s="6">
        <v>11324</v>
      </c>
      <c r="C134" s="1">
        <v>133</v>
      </c>
      <c r="D134" s="1">
        <v>37.1</v>
      </c>
      <c r="E134" s="12">
        <f t="shared" si="2"/>
        <v>39.633333333333333</v>
      </c>
    </row>
    <row r="135" spans="1:5" x14ac:dyDescent="0.3">
      <c r="A135" s="3" t="s">
        <v>138</v>
      </c>
      <c r="B135" s="6">
        <v>11355</v>
      </c>
      <c r="C135" s="1">
        <v>134</v>
      </c>
      <c r="D135" s="1">
        <v>38.4</v>
      </c>
      <c r="E135" s="12">
        <f t="shared" si="2"/>
        <v>38.1</v>
      </c>
    </row>
    <row r="136" spans="1:5" x14ac:dyDescent="0.3">
      <c r="A136" s="3" t="s">
        <v>139</v>
      </c>
      <c r="B136" s="6">
        <v>11383</v>
      </c>
      <c r="C136" s="1">
        <v>135</v>
      </c>
      <c r="D136" s="1">
        <v>38.4</v>
      </c>
      <c r="E136" s="12">
        <f t="shared" si="2"/>
        <v>37.966666666666669</v>
      </c>
    </row>
    <row r="137" spans="1:5" x14ac:dyDescent="0.3">
      <c r="A137" s="3" t="s">
        <v>140</v>
      </c>
      <c r="B137" s="6">
        <v>11414</v>
      </c>
      <c r="C137" s="1">
        <v>136</v>
      </c>
      <c r="D137" s="1">
        <v>46.5</v>
      </c>
      <c r="E137" s="12">
        <f t="shared" si="2"/>
        <v>41.1</v>
      </c>
    </row>
    <row r="138" spans="1:5" x14ac:dyDescent="0.3">
      <c r="A138" s="3" t="s">
        <v>141</v>
      </c>
      <c r="B138" s="6">
        <v>11444</v>
      </c>
      <c r="C138" s="1">
        <v>137</v>
      </c>
      <c r="D138" s="1">
        <v>53.5</v>
      </c>
      <c r="E138" s="12">
        <f t="shared" si="2"/>
        <v>46.133333333333333</v>
      </c>
    </row>
    <row r="139" spans="1:5" x14ac:dyDescent="0.3">
      <c r="A139" s="3" t="s">
        <v>142</v>
      </c>
      <c r="B139" s="6">
        <v>11475</v>
      </c>
      <c r="C139" s="1">
        <v>138</v>
      </c>
      <c r="D139" s="1">
        <v>58.4</v>
      </c>
      <c r="E139" s="12">
        <f t="shared" si="2"/>
        <v>52.800000000000004</v>
      </c>
    </row>
    <row r="140" spans="1:5" x14ac:dyDescent="0.3">
      <c r="A140" s="3" t="s">
        <v>143</v>
      </c>
      <c r="B140" s="6">
        <v>11505</v>
      </c>
      <c r="C140" s="1">
        <v>139</v>
      </c>
      <c r="D140" s="1">
        <v>60.6</v>
      </c>
      <c r="E140" s="12">
        <f t="shared" si="2"/>
        <v>57.5</v>
      </c>
    </row>
    <row r="141" spans="1:5" x14ac:dyDescent="0.3">
      <c r="A141" s="3" t="s">
        <v>144</v>
      </c>
      <c r="B141" s="6">
        <v>11536</v>
      </c>
      <c r="C141" s="1">
        <v>140</v>
      </c>
      <c r="D141" s="1">
        <v>58.2</v>
      </c>
      <c r="E141" s="12">
        <f t="shared" si="2"/>
        <v>59.066666666666663</v>
      </c>
    </row>
    <row r="142" spans="1:5" x14ac:dyDescent="0.3">
      <c r="A142" s="3" t="s">
        <v>145</v>
      </c>
      <c r="B142" s="6">
        <v>11567</v>
      </c>
      <c r="C142" s="1">
        <v>141</v>
      </c>
      <c r="D142" s="1">
        <v>53.8</v>
      </c>
      <c r="E142" s="12">
        <f t="shared" si="2"/>
        <v>57.533333333333339</v>
      </c>
    </row>
    <row r="143" spans="1:5" x14ac:dyDescent="0.3">
      <c r="A143" s="3" t="s">
        <v>146</v>
      </c>
      <c r="B143" s="6">
        <v>11597</v>
      </c>
      <c r="C143" s="1">
        <v>142</v>
      </c>
      <c r="D143" s="1">
        <v>46.6</v>
      </c>
      <c r="E143" s="12">
        <f t="shared" si="2"/>
        <v>52.866666666666667</v>
      </c>
    </row>
    <row r="144" spans="1:5" x14ac:dyDescent="0.3">
      <c r="A144" s="3" t="s">
        <v>147</v>
      </c>
      <c r="B144" s="6">
        <v>11628</v>
      </c>
      <c r="C144" s="1">
        <v>143</v>
      </c>
      <c r="D144" s="1">
        <v>45.5</v>
      </c>
      <c r="E144" s="12">
        <f t="shared" si="2"/>
        <v>48.633333333333333</v>
      </c>
    </row>
    <row r="145" spans="1:5" x14ac:dyDescent="0.3">
      <c r="A145" s="3" t="s">
        <v>148</v>
      </c>
      <c r="B145" s="6">
        <v>11658</v>
      </c>
      <c r="C145" s="1">
        <v>144</v>
      </c>
      <c r="D145" s="1">
        <v>40.6</v>
      </c>
      <c r="E145" s="12">
        <f t="shared" si="2"/>
        <v>44.233333333333327</v>
      </c>
    </row>
    <row r="146" spans="1:5" x14ac:dyDescent="0.3">
      <c r="A146" s="3" t="s">
        <v>149</v>
      </c>
      <c r="B146" s="6">
        <v>11689</v>
      </c>
      <c r="C146" s="1">
        <v>145</v>
      </c>
      <c r="D146" s="1">
        <v>42.4</v>
      </c>
      <c r="E146" s="12">
        <f t="shared" si="2"/>
        <v>42.833333333333336</v>
      </c>
    </row>
    <row r="147" spans="1:5" x14ac:dyDescent="0.3">
      <c r="A147" s="3" t="s">
        <v>150</v>
      </c>
      <c r="B147" s="6">
        <v>11720</v>
      </c>
      <c r="C147" s="1">
        <v>146</v>
      </c>
      <c r="D147" s="1">
        <v>38.4</v>
      </c>
      <c r="E147" s="12">
        <f t="shared" si="2"/>
        <v>40.466666666666669</v>
      </c>
    </row>
    <row r="148" spans="1:5" x14ac:dyDescent="0.3">
      <c r="A148" s="3" t="s">
        <v>151</v>
      </c>
      <c r="B148" s="6">
        <v>11749</v>
      </c>
      <c r="C148" s="1">
        <v>147</v>
      </c>
      <c r="D148" s="1">
        <v>40.299999999999997</v>
      </c>
      <c r="E148" s="12">
        <f t="shared" si="2"/>
        <v>40.366666666666667</v>
      </c>
    </row>
    <row r="149" spans="1:5" x14ac:dyDescent="0.3">
      <c r="A149" s="3" t="s">
        <v>152</v>
      </c>
      <c r="B149" s="6">
        <v>11780</v>
      </c>
      <c r="C149" s="1">
        <v>148</v>
      </c>
      <c r="D149" s="1">
        <v>44.6</v>
      </c>
      <c r="E149" s="12">
        <f t="shared" si="2"/>
        <v>41.099999999999994</v>
      </c>
    </row>
    <row r="150" spans="1:5" x14ac:dyDescent="0.3">
      <c r="A150" s="3" t="s">
        <v>153</v>
      </c>
      <c r="B150" s="6">
        <v>11810</v>
      </c>
      <c r="C150" s="1">
        <v>149</v>
      </c>
      <c r="D150" s="1">
        <v>50.9</v>
      </c>
      <c r="E150" s="12">
        <f t="shared" si="2"/>
        <v>45.266666666666673</v>
      </c>
    </row>
    <row r="151" spans="1:5" x14ac:dyDescent="0.3">
      <c r="A151" s="3" t="s">
        <v>154</v>
      </c>
      <c r="B151" s="6">
        <v>11841</v>
      </c>
      <c r="C151" s="1">
        <v>150</v>
      </c>
      <c r="D151" s="1">
        <v>57</v>
      </c>
      <c r="E151" s="12">
        <f t="shared" si="2"/>
        <v>50.833333333333336</v>
      </c>
    </row>
    <row r="152" spans="1:5" x14ac:dyDescent="0.3">
      <c r="A152" s="3" t="s">
        <v>155</v>
      </c>
      <c r="B152" s="6">
        <v>11871</v>
      </c>
      <c r="C152" s="1">
        <v>151</v>
      </c>
      <c r="D152" s="1">
        <v>62.1</v>
      </c>
      <c r="E152" s="12">
        <f t="shared" si="2"/>
        <v>56.666666666666664</v>
      </c>
    </row>
    <row r="153" spans="1:5" x14ac:dyDescent="0.3">
      <c r="A153" s="3" t="s">
        <v>156</v>
      </c>
      <c r="B153" s="6">
        <v>11902</v>
      </c>
      <c r="C153" s="1">
        <v>152</v>
      </c>
      <c r="D153" s="1">
        <v>63.5</v>
      </c>
      <c r="E153" s="12">
        <f t="shared" si="2"/>
        <v>60.866666666666667</v>
      </c>
    </row>
    <row r="154" spans="1:5" x14ac:dyDescent="0.3">
      <c r="A154" s="3" t="s">
        <v>157</v>
      </c>
      <c r="B154" s="6">
        <v>11933</v>
      </c>
      <c r="C154" s="1">
        <v>153</v>
      </c>
      <c r="D154" s="1">
        <v>56.3</v>
      </c>
      <c r="E154" s="12">
        <f t="shared" si="2"/>
        <v>60.633333333333326</v>
      </c>
    </row>
    <row r="155" spans="1:5" x14ac:dyDescent="0.3">
      <c r="A155" s="3" t="s">
        <v>158</v>
      </c>
      <c r="B155" s="6">
        <v>11963</v>
      </c>
      <c r="C155" s="1">
        <v>154</v>
      </c>
      <c r="D155" s="1">
        <v>47.3</v>
      </c>
      <c r="E155" s="12">
        <f t="shared" si="2"/>
        <v>55.699999999999996</v>
      </c>
    </row>
    <row r="156" spans="1:5" x14ac:dyDescent="0.3">
      <c r="A156" s="3" t="s">
        <v>159</v>
      </c>
      <c r="B156" s="6">
        <v>11994</v>
      </c>
      <c r="C156" s="1">
        <v>155</v>
      </c>
      <c r="D156" s="1">
        <v>43.6</v>
      </c>
      <c r="E156" s="12">
        <f t="shared" si="2"/>
        <v>49.066666666666663</v>
      </c>
    </row>
    <row r="157" spans="1:5" x14ac:dyDescent="0.3">
      <c r="A157" s="3" t="s">
        <v>160</v>
      </c>
      <c r="B157" s="6">
        <v>12024</v>
      </c>
      <c r="C157" s="1">
        <v>156</v>
      </c>
      <c r="D157" s="1">
        <v>41.8</v>
      </c>
      <c r="E157" s="12">
        <f t="shared" si="2"/>
        <v>44.233333333333327</v>
      </c>
    </row>
    <row r="158" spans="1:5" x14ac:dyDescent="0.3">
      <c r="A158" s="3" t="s">
        <v>161</v>
      </c>
      <c r="B158" s="6">
        <v>12055</v>
      </c>
      <c r="C158" s="1">
        <v>157</v>
      </c>
      <c r="D158" s="1">
        <v>36.200000000000003</v>
      </c>
      <c r="E158" s="12">
        <f t="shared" si="2"/>
        <v>40.533333333333339</v>
      </c>
    </row>
    <row r="159" spans="1:5" x14ac:dyDescent="0.3">
      <c r="A159" s="3" t="s">
        <v>162</v>
      </c>
      <c r="B159" s="6">
        <v>12086</v>
      </c>
      <c r="C159" s="1">
        <v>158</v>
      </c>
      <c r="D159" s="1">
        <v>39.299999999999997</v>
      </c>
      <c r="E159" s="12">
        <f t="shared" si="2"/>
        <v>39.1</v>
      </c>
    </row>
    <row r="160" spans="1:5" x14ac:dyDescent="0.3">
      <c r="A160" s="3" t="s">
        <v>163</v>
      </c>
      <c r="B160" s="6">
        <v>12114</v>
      </c>
      <c r="C160" s="1">
        <v>159</v>
      </c>
      <c r="D160" s="1">
        <v>44.5</v>
      </c>
      <c r="E160" s="12">
        <f t="shared" si="2"/>
        <v>40</v>
      </c>
    </row>
    <row r="161" spans="1:5" x14ac:dyDescent="0.3">
      <c r="A161" s="3" t="s">
        <v>164</v>
      </c>
      <c r="B161" s="6">
        <v>12145</v>
      </c>
      <c r="C161" s="1">
        <v>160</v>
      </c>
      <c r="D161" s="1">
        <v>48.7</v>
      </c>
      <c r="E161" s="12">
        <f t="shared" si="2"/>
        <v>44.166666666666664</v>
      </c>
    </row>
    <row r="162" spans="1:5" x14ac:dyDescent="0.3">
      <c r="A162" s="3" t="s">
        <v>165</v>
      </c>
      <c r="B162" s="6">
        <v>12175</v>
      </c>
      <c r="C162" s="1">
        <v>161</v>
      </c>
      <c r="D162" s="1">
        <v>54.2</v>
      </c>
      <c r="E162" s="12">
        <f t="shared" si="2"/>
        <v>49.133333333333333</v>
      </c>
    </row>
    <row r="163" spans="1:5" x14ac:dyDescent="0.3">
      <c r="A163" s="3" t="s">
        <v>166</v>
      </c>
      <c r="B163" s="6">
        <v>12206</v>
      </c>
      <c r="C163" s="1">
        <v>162</v>
      </c>
      <c r="D163" s="1">
        <v>60.8</v>
      </c>
      <c r="E163" s="12">
        <f t="shared" si="2"/>
        <v>54.566666666666663</v>
      </c>
    </row>
    <row r="164" spans="1:5" x14ac:dyDescent="0.3">
      <c r="A164" s="3" t="s">
        <v>167</v>
      </c>
      <c r="B164" s="6">
        <v>12236</v>
      </c>
      <c r="C164" s="1">
        <v>163</v>
      </c>
      <c r="D164" s="1">
        <v>65.5</v>
      </c>
      <c r="E164" s="12">
        <f t="shared" si="2"/>
        <v>60.166666666666664</v>
      </c>
    </row>
    <row r="165" spans="1:5" x14ac:dyDescent="0.3">
      <c r="A165" s="3" t="s">
        <v>168</v>
      </c>
      <c r="B165" s="6">
        <v>12267</v>
      </c>
      <c r="C165" s="1">
        <v>164</v>
      </c>
      <c r="D165" s="1">
        <v>64.900000000000006</v>
      </c>
      <c r="E165" s="12">
        <f t="shared" si="2"/>
        <v>63.733333333333327</v>
      </c>
    </row>
    <row r="166" spans="1:5" x14ac:dyDescent="0.3">
      <c r="A166" s="3" t="s">
        <v>169</v>
      </c>
      <c r="B166" s="6">
        <v>12298</v>
      </c>
      <c r="C166" s="1">
        <v>165</v>
      </c>
      <c r="D166" s="1">
        <v>60.1</v>
      </c>
      <c r="E166" s="12">
        <f t="shared" si="2"/>
        <v>63.5</v>
      </c>
    </row>
    <row r="167" spans="1:5" x14ac:dyDescent="0.3">
      <c r="A167" s="3" t="s">
        <v>170</v>
      </c>
      <c r="B167" s="6">
        <v>12328</v>
      </c>
      <c r="C167" s="1">
        <v>166</v>
      </c>
      <c r="D167" s="1">
        <v>50.2</v>
      </c>
      <c r="E167" s="12">
        <f t="shared" si="2"/>
        <v>58.4</v>
      </c>
    </row>
    <row r="168" spans="1:5" x14ac:dyDescent="0.3">
      <c r="A168" s="3" t="s">
        <v>171</v>
      </c>
      <c r="B168" s="6">
        <v>12359</v>
      </c>
      <c r="C168" s="1">
        <v>167</v>
      </c>
      <c r="D168" s="1">
        <v>42.1</v>
      </c>
      <c r="E168" s="12">
        <f t="shared" si="2"/>
        <v>50.800000000000004</v>
      </c>
    </row>
    <row r="169" spans="1:5" x14ac:dyDescent="0.3">
      <c r="A169" s="3" t="s">
        <v>172</v>
      </c>
      <c r="B169" s="6">
        <v>12389</v>
      </c>
      <c r="C169" s="1">
        <v>168</v>
      </c>
      <c r="D169" s="1">
        <v>35.799999999999997</v>
      </c>
      <c r="E169" s="12">
        <f t="shared" si="2"/>
        <v>42.70000000000001</v>
      </c>
    </row>
    <row r="170" spans="1:5" x14ac:dyDescent="0.3">
      <c r="A170" s="3" t="s">
        <v>173</v>
      </c>
      <c r="B170" s="6">
        <v>12420</v>
      </c>
      <c r="C170" s="1">
        <v>169</v>
      </c>
      <c r="D170" s="1">
        <v>39.4</v>
      </c>
      <c r="E170" s="12">
        <f t="shared" si="2"/>
        <v>39.1</v>
      </c>
    </row>
    <row r="171" spans="1:5" x14ac:dyDescent="0.3">
      <c r="A171" s="3" t="s">
        <v>174</v>
      </c>
      <c r="B171" s="6">
        <v>12451</v>
      </c>
      <c r="C171" s="1">
        <v>170</v>
      </c>
      <c r="D171" s="1">
        <v>38.200000000000003</v>
      </c>
      <c r="E171" s="12">
        <f t="shared" si="2"/>
        <v>37.799999999999997</v>
      </c>
    </row>
    <row r="172" spans="1:5" x14ac:dyDescent="0.3">
      <c r="A172" s="3" t="s">
        <v>175</v>
      </c>
      <c r="B172" s="6">
        <v>12479</v>
      </c>
      <c r="C172" s="1">
        <v>171</v>
      </c>
      <c r="D172" s="1">
        <v>40.4</v>
      </c>
      <c r="E172" s="12">
        <f t="shared" si="2"/>
        <v>39.333333333333336</v>
      </c>
    </row>
    <row r="173" spans="1:5" x14ac:dyDescent="0.3">
      <c r="A173" s="3" t="s">
        <v>176</v>
      </c>
      <c r="B173" s="6">
        <v>12510</v>
      </c>
      <c r="C173" s="1">
        <v>172</v>
      </c>
      <c r="D173" s="1">
        <v>46.9</v>
      </c>
      <c r="E173" s="12">
        <f t="shared" si="2"/>
        <v>41.833333333333336</v>
      </c>
    </row>
    <row r="174" spans="1:5" x14ac:dyDescent="0.3">
      <c r="A174" s="3" t="s">
        <v>177</v>
      </c>
      <c r="B174" s="6">
        <v>12540</v>
      </c>
      <c r="C174" s="1">
        <v>173</v>
      </c>
      <c r="D174" s="1">
        <v>53.4</v>
      </c>
      <c r="E174" s="12">
        <f t="shared" si="2"/>
        <v>46.9</v>
      </c>
    </row>
    <row r="175" spans="1:5" x14ac:dyDescent="0.3">
      <c r="A175" s="3" t="s">
        <v>178</v>
      </c>
      <c r="B175" s="6">
        <v>12571</v>
      </c>
      <c r="C175" s="1">
        <v>174</v>
      </c>
      <c r="D175" s="1">
        <v>59.6</v>
      </c>
      <c r="E175" s="12">
        <f t="shared" si="2"/>
        <v>53.300000000000004</v>
      </c>
    </row>
    <row r="176" spans="1:5" x14ac:dyDescent="0.3">
      <c r="A176" s="3" t="s">
        <v>179</v>
      </c>
      <c r="B176" s="6">
        <v>12601</v>
      </c>
      <c r="C176" s="1">
        <v>175</v>
      </c>
      <c r="D176" s="1">
        <v>66.5</v>
      </c>
      <c r="E176" s="12">
        <f t="shared" si="2"/>
        <v>59.833333333333336</v>
      </c>
    </row>
    <row r="177" spans="1:5" x14ac:dyDescent="0.3">
      <c r="A177" s="3" t="s">
        <v>180</v>
      </c>
      <c r="B177" s="6">
        <v>12632</v>
      </c>
      <c r="C177" s="1">
        <v>176</v>
      </c>
      <c r="D177" s="1">
        <v>60.4</v>
      </c>
      <c r="E177" s="12">
        <f t="shared" si="2"/>
        <v>62.166666666666664</v>
      </c>
    </row>
    <row r="178" spans="1:5" x14ac:dyDescent="0.3">
      <c r="A178" s="3" t="s">
        <v>181</v>
      </c>
      <c r="B178" s="6">
        <v>12663</v>
      </c>
      <c r="C178" s="1">
        <v>177</v>
      </c>
      <c r="D178" s="1">
        <v>59.2</v>
      </c>
      <c r="E178" s="12">
        <f t="shared" si="2"/>
        <v>62.033333333333339</v>
      </c>
    </row>
    <row r="179" spans="1:5" x14ac:dyDescent="0.3">
      <c r="A179" s="3" t="s">
        <v>182</v>
      </c>
      <c r="B179" s="6">
        <v>12693</v>
      </c>
      <c r="C179" s="1">
        <v>178</v>
      </c>
      <c r="D179" s="1">
        <v>51.2</v>
      </c>
      <c r="E179" s="12">
        <f t="shared" si="2"/>
        <v>56.933333333333337</v>
      </c>
    </row>
    <row r="180" spans="1:5" x14ac:dyDescent="0.3">
      <c r="A180" s="3" t="s">
        <v>183</v>
      </c>
      <c r="B180" s="6">
        <v>12724</v>
      </c>
      <c r="C180" s="1">
        <v>179</v>
      </c>
      <c r="D180" s="1">
        <v>42.8</v>
      </c>
      <c r="E180" s="12">
        <f t="shared" si="2"/>
        <v>51.066666666666663</v>
      </c>
    </row>
    <row r="181" spans="1:5" x14ac:dyDescent="0.3">
      <c r="A181" s="3" t="s">
        <v>184</v>
      </c>
      <c r="B181" s="6">
        <v>12754</v>
      </c>
      <c r="C181" s="1">
        <v>180</v>
      </c>
      <c r="D181" s="1">
        <v>45.8</v>
      </c>
      <c r="E181" s="12">
        <f t="shared" si="2"/>
        <v>46.6</v>
      </c>
    </row>
    <row r="182" spans="1:5" x14ac:dyDescent="0.3">
      <c r="A182" s="3" t="s">
        <v>185</v>
      </c>
      <c r="B182" s="6">
        <v>12785</v>
      </c>
      <c r="C182" s="1">
        <v>181</v>
      </c>
      <c r="D182" s="1">
        <v>40</v>
      </c>
      <c r="E182" s="12">
        <f t="shared" si="2"/>
        <v>42.866666666666667</v>
      </c>
    </row>
    <row r="183" spans="1:5" x14ac:dyDescent="0.3">
      <c r="A183" s="3" t="s">
        <v>186</v>
      </c>
      <c r="B183" s="6">
        <v>12816</v>
      </c>
      <c r="C183" s="1">
        <v>182</v>
      </c>
      <c r="D183" s="1">
        <v>42.6</v>
      </c>
      <c r="E183" s="12">
        <f t="shared" si="2"/>
        <v>42.800000000000004</v>
      </c>
    </row>
    <row r="184" spans="1:5" x14ac:dyDescent="0.3">
      <c r="A184" s="3" t="s">
        <v>187</v>
      </c>
      <c r="B184" s="6">
        <v>12844</v>
      </c>
      <c r="C184" s="1">
        <v>183</v>
      </c>
      <c r="D184" s="1">
        <v>43.5</v>
      </c>
      <c r="E184" s="12">
        <f t="shared" si="2"/>
        <v>42.033333333333331</v>
      </c>
    </row>
    <row r="185" spans="1:5" x14ac:dyDescent="0.3">
      <c r="A185" s="3" t="s">
        <v>188</v>
      </c>
      <c r="B185" s="6">
        <v>12875</v>
      </c>
      <c r="C185" s="1">
        <v>184</v>
      </c>
      <c r="D185" s="1">
        <v>47.1</v>
      </c>
      <c r="E185" s="12">
        <f t="shared" si="2"/>
        <v>44.4</v>
      </c>
    </row>
    <row r="186" spans="1:5" x14ac:dyDescent="0.3">
      <c r="A186" s="3" t="s">
        <v>189</v>
      </c>
      <c r="B186" s="6">
        <v>12905</v>
      </c>
      <c r="C186" s="1">
        <v>185</v>
      </c>
      <c r="D186" s="1">
        <v>50</v>
      </c>
      <c r="E186" s="12">
        <f t="shared" si="2"/>
        <v>46.866666666666667</v>
      </c>
    </row>
    <row r="187" spans="1:5" x14ac:dyDescent="0.3">
      <c r="A187" s="3" t="s">
        <v>190</v>
      </c>
      <c r="B187" s="6">
        <v>12936</v>
      </c>
      <c r="C187" s="1">
        <v>186</v>
      </c>
      <c r="D187" s="1">
        <v>60.5</v>
      </c>
      <c r="E187" s="12">
        <f t="shared" si="2"/>
        <v>52.533333333333331</v>
      </c>
    </row>
    <row r="188" spans="1:5" x14ac:dyDescent="0.3">
      <c r="A188" s="3" t="s">
        <v>191</v>
      </c>
      <c r="B188" s="6">
        <v>12966</v>
      </c>
      <c r="C188" s="1">
        <v>187</v>
      </c>
      <c r="D188" s="1">
        <v>64.599999999999994</v>
      </c>
      <c r="E188" s="12">
        <f t="shared" si="2"/>
        <v>58.366666666666667</v>
      </c>
    </row>
    <row r="189" spans="1:5" x14ac:dyDescent="0.3">
      <c r="A189" s="3" t="s">
        <v>192</v>
      </c>
      <c r="B189" s="6">
        <v>12997</v>
      </c>
      <c r="C189" s="1">
        <v>188</v>
      </c>
      <c r="D189" s="1">
        <v>64</v>
      </c>
      <c r="E189" s="12">
        <f t="shared" si="2"/>
        <v>63.033333333333331</v>
      </c>
    </row>
    <row r="190" spans="1:5" x14ac:dyDescent="0.3">
      <c r="A190" s="3" t="s">
        <v>193</v>
      </c>
      <c r="B190" s="6">
        <v>13028</v>
      </c>
      <c r="C190" s="1">
        <v>189</v>
      </c>
      <c r="D190" s="1">
        <v>56.8</v>
      </c>
      <c r="E190" s="12">
        <f t="shared" si="2"/>
        <v>61.79999999999999</v>
      </c>
    </row>
    <row r="191" spans="1:5" x14ac:dyDescent="0.3">
      <c r="A191" s="3" t="s">
        <v>194</v>
      </c>
      <c r="B191" s="6">
        <v>13058</v>
      </c>
      <c r="C191" s="1">
        <v>190</v>
      </c>
      <c r="D191" s="1">
        <v>48.6</v>
      </c>
      <c r="E191" s="12">
        <f t="shared" si="2"/>
        <v>56.466666666666669</v>
      </c>
    </row>
    <row r="192" spans="1:5" x14ac:dyDescent="0.3">
      <c r="A192" s="3" t="s">
        <v>195</v>
      </c>
      <c r="B192" s="6">
        <v>13089</v>
      </c>
      <c r="C192" s="1">
        <v>191</v>
      </c>
      <c r="D192" s="1">
        <v>44.2</v>
      </c>
      <c r="E192" s="12">
        <f t="shared" si="2"/>
        <v>49.866666666666674</v>
      </c>
    </row>
    <row r="193" spans="1:5" x14ac:dyDescent="0.3">
      <c r="A193" s="3" t="s">
        <v>196</v>
      </c>
      <c r="B193" s="6">
        <v>13119</v>
      </c>
      <c r="C193" s="1">
        <v>192</v>
      </c>
      <c r="D193" s="1">
        <v>36.4</v>
      </c>
      <c r="E193" s="12">
        <f t="shared" si="2"/>
        <v>43.06666666666667</v>
      </c>
    </row>
    <row r="194" spans="1:5" x14ac:dyDescent="0.3">
      <c r="A194" s="3" t="s">
        <v>197</v>
      </c>
      <c r="B194" s="6">
        <v>13150</v>
      </c>
      <c r="C194" s="1">
        <v>193</v>
      </c>
      <c r="D194" s="1">
        <v>37.299999999999997</v>
      </c>
      <c r="E194" s="12">
        <f t="shared" si="2"/>
        <v>39.299999999999997</v>
      </c>
    </row>
    <row r="195" spans="1:5" x14ac:dyDescent="0.3">
      <c r="A195" s="3" t="s">
        <v>198</v>
      </c>
      <c r="B195" s="6">
        <v>13181</v>
      </c>
      <c r="C195" s="1">
        <v>194</v>
      </c>
      <c r="D195" s="1">
        <v>35</v>
      </c>
      <c r="E195" s="12">
        <f t="shared" si="2"/>
        <v>36.233333333333327</v>
      </c>
    </row>
    <row r="196" spans="1:5" x14ac:dyDescent="0.3">
      <c r="A196" s="3" t="s">
        <v>199</v>
      </c>
      <c r="B196" s="6">
        <v>13210</v>
      </c>
      <c r="C196" s="1">
        <v>195</v>
      </c>
      <c r="D196" s="1">
        <v>44</v>
      </c>
      <c r="E196" s="12">
        <f t="shared" si="2"/>
        <v>38.766666666666666</v>
      </c>
    </row>
    <row r="197" spans="1:5" x14ac:dyDescent="0.3">
      <c r="A197" s="3" t="s">
        <v>200</v>
      </c>
      <c r="B197" s="6">
        <v>13241</v>
      </c>
      <c r="C197" s="1">
        <v>196</v>
      </c>
      <c r="D197" s="1">
        <v>43.9</v>
      </c>
      <c r="E197" s="12">
        <f t="shared" ref="E197:E241" si="3">AVERAGE(D195:D197)</f>
        <v>40.966666666666669</v>
      </c>
    </row>
    <row r="198" spans="1:5" x14ac:dyDescent="0.3">
      <c r="A198" s="3" t="s">
        <v>201</v>
      </c>
      <c r="B198" s="6">
        <v>13271</v>
      </c>
      <c r="C198" s="1">
        <v>197</v>
      </c>
      <c r="D198" s="1">
        <v>52.7</v>
      </c>
      <c r="E198" s="12">
        <f t="shared" si="3"/>
        <v>46.866666666666674</v>
      </c>
    </row>
    <row r="199" spans="1:5" x14ac:dyDescent="0.3">
      <c r="A199" s="3" t="s">
        <v>202</v>
      </c>
      <c r="B199" s="6">
        <v>13302</v>
      </c>
      <c r="C199" s="1">
        <v>198</v>
      </c>
      <c r="D199" s="1">
        <v>58.6</v>
      </c>
      <c r="E199" s="12">
        <f t="shared" si="3"/>
        <v>51.733333333333327</v>
      </c>
    </row>
    <row r="200" spans="1:5" x14ac:dyDescent="0.3">
      <c r="A200" s="3" t="s">
        <v>203</v>
      </c>
      <c r="B200" s="6">
        <v>13332</v>
      </c>
      <c r="C200" s="1">
        <v>199</v>
      </c>
      <c r="D200" s="1">
        <v>60</v>
      </c>
      <c r="E200" s="12">
        <f t="shared" si="3"/>
        <v>57.1</v>
      </c>
    </row>
    <row r="201" spans="1:5" x14ac:dyDescent="0.3">
      <c r="A201" s="3" t="s">
        <v>204</v>
      </c>
      <c r="B201" s="6">
        <v>13363</v>
      </c>
      <c r="C201" s="1">
        <v>200</v>
      </c>
      <c r="D201" s="1">
        <v>61.1</v>
      </c>
      <c r="E201" s="12">
        <f t="shared" si="3"/>
        <v>59.9</v>
      </c>
    </row>
    <row r="202" spans="1:5" x14ac:dyDescent="0.3">
      <c r="A202" s="3" t="s">
        <v>205</v>
      </c>
      <c r="B202" s="6">
        <v>13394</v>
      </c>
      <c r="C202" s="1">
        <v>201</v>
      </c>
      <c r="D202" s="1">
        <v>58.1</v>
      </c>
      <c r="E202" s="12">
        <f t="shared" si="3"/>
        <v>59.733333333333327</v>
      </c>
    </row>
    <row r="203" spans="1:5" x14ac:dyDescent="0.3">
      <c r="A203" s="3" t="s">
        <v>206</v>
      </c>
      <c r="B203" s="6">
        <v>13424</v>
      </c>
      <c r="C203" s="1">
        <v>202</v>
      </c>
      <c r="D203" s="1">
        <v>49.6</v>
      </c>
      <c r="E203" s="12">
        <f t="shared" si="3"/>
        <v>56.266666666666673</v>
      </c>
    </row>
    <row r="204" spans="1:5" x14ac:dyDescent="0.3">
      <c r="A204" s="3" t="s">
        <v>207</v>
      </c>
      <c r="B204" s="6">
        <v>13455</v>
      </c>
      <c r="C204" s="1">
        <v>203</v>
      </c>
      <c r="D204" s="1">
        <v>41.6</v>
      </c>
      <c r="E204" s="12">
        <f t="shared" si="3"/>
        <v>49.766666666666673</v>
      </c>
    </row>
    <row r="205" spans="1:5" x14ac:dyDescent="0.3">
      <c r="A205" s="3" t="s">
        <v>208</v>
      </c>
      <c r="B205" s="6">
        <v>13485</v>
      </c>
      <c r="C205" s="1">
        <v>204</v>
      </c>
      <c r="D205" s="1">
        <v>41.3</v>
      </c>
      <c r="E205" s="12">
        <f t="shared" si="3"/>
        <v>44.166666666666664</v>
      </c>
    </row>
    <row r="206" spans="1:5" x14ac:dyDescent="0.3">
      <c r="A206" s="3" t="s">
        <v>209</v>
      </c>
      <c r="B206" s="6">
        <v>13516</v>
      </c>
      <c r="C206" s="1">
        <v>205</v>
      </c>
      <c r="D206" s="1">
        <v>40.799999999999997</v>
      </c>
      <c r="E206" s="12">
        <f t="shared" si="3"/>
        <v>41.233333333333334</v>
      </c>
    </row>
    <row r="207" spans="1:5" x14ac:dyDescent="0.3">
      <c r="A207" s="3" t="s">
        <v>210</v>
      </c>
      <c r="B207" s="6">
        <v>13547</v>
      </c>
      <c r="C207" s="1">
        <v>206</v>
      </c>
      <c r="D207" s="1">
        <v>41</v>
      </c>
      <c r="E207" s="12">
        <f t="shared" si="3"/>
        <v>41.033333333333331</v>
      </c>
    </row>
    <row r="208" spans="1:5" x14ac:dyDescent="0.3">
      <c r="A208" s="3" t="s">
        <v>211</v>
      </c>
      <c r="B208" s="6">
        <v>13575</v>
      </c>
      <c r="C208" s="1">
        <v>207</v>
      </c>
      <c r="D208" s="1">
        <v>38.4</v>
      </c>
      <c r="E208" s="12">
        <f t="shared" si="3"/>
        <v>40.066666666666663</v>
      </c>
    </row>
    <row r="209" spans="1:5" x14ac:dyDescent="0.3">
      <c r="A209" s="3" t="s">
        <v>212</v>
      </c>
      <c r="B209" s="6">
        <v>13606</v>
      </c>
      <c r="C209" s="1">
        <v>208</v>
      </c>
      <c r="D209" s="1">
        <v>47.4</v>
      </c>
      <c r="E209" s="12">
        <f t="shared" si="3"/>
        <v>42.266666666666673</v>
      </c>
    </row>
    <row r="210" spans="1:5" x14ac:dyDescent="0.3">
      <c r="A210" s="3" t="s">
        <v>213</v>
      </c>
      <c r="B210" s="6">
        <v>13636</v>
      </c>
      <c r="C210" s="1">
        <v>209</v>
      </c>
      <c r="D210" s="1">
        <v>54.1</v>
      </c>
      <c r="E210" s="12">
        <f t="shared" si="3"/>
        <v>46.633333333333333</v>
      </c>
    </row>
    <row r="211" spans="1:5" x14ac:dyDescent="0.3">
      <c r="A211" s="3" t="s">
        <v>214</v>
      </c>
      <c r="B211" s="6">
        <v>13667</v>
      </c>
      <c r="C211" s="1">
        <v>210</v>
      </c>
      <c r="D211" s="1">
        <v>58.6</v>
      </c>
      <c r="E211" s="12">
        <f t="shared" si="3"/>
        <v>53.366666666666667</v>
      </c>
    </row>
    <row r="212" spans="1:5" x14ac:dyDescent="0.3">
      <c r="A212" s="3" t="s">
        <v>215</v>
      </c>
      <c r="B212" s="6">
        <v>13697</v>
      </c>
      <c r="C212" s="1">
        <v>211</v>
      </c>
      <c r="D212" s="1">
        <v>61.4</v>
      </c>
      <c r="E212" s="12">
        <f t="shared" si="3"/>
        <v>58.033333333333331</v>
      </c>
    </row>
    <row r="213" spans="1:5" x14ac:dyDescent="0.3">
      <c r="A213" s="3" t="s">
        <v>216</v>
      </c>
      <c r="B213" s="6">
        <v>13728</v>
      </c>
      <c r="C213" s="1">
        <v>212</v>
      </c>
      <c r="D213" s="1">
        <v>61.8</v>
      </c>
      <c r="E213" s="12">
        <f t="shared" si="3"/>
        <v>60.6</v>
      </c>
    </row>
    <row r="214" spans="1:5" x14ac:dyDescent="0.3">
      <c r="A214" s="3" t="s">
        <v>217</v>
      </c>
      <c r="B214" s="6">
        <v>13759</v>
      </c>
      <c r="C214" s="1">
        <v>213</v>
      </c>
      <c r="D214" s="1">
        <v>56.3</v>
      </c>
      <c r="E214" s="12">
        <f t="shared" si="3"/>
        <v>59.833333333333336</v>
      </c>
    </row>
    <row r="215" spans="1:5" x14ac:dyDescent="0.3">
      <c r="A215" s="3" t="s">
        <v>218</v>
      </c>
      <c r="B215" s="6">
        <v>13789</v>
      </c>
      <c r="C215" s="1">
        <v>214</v>
      </c>
      <c r="D215" s="1">
        <v>50.9</v>
      </c>
      <c r="E215" s="12">
        <f t="shared" si="3"/>
        <v>56.333333333333336</v>
      </c>
    </row>
    <row r="216" spans="1:5" x14ac:dyDescent="0.3">
      <c r="A216" s="3" t="s">
        <v>219</v>
      </c>
      <c r="B216" s="6">
        <v>13820</v>
      </c>
      <c r="C216" s="1">
        <v>215</v>
      </c>
      <c r="D216" s="1">
        <v>41.4</v>
      </c>
      <c r="E216" s="12">
        <f t="shared" si="3"/>
        <v>49.533333333333331</v>
      </c>
    </row>
    <row r="217" spans="1:5" x14ac:dyDescent="0.3">
      <c r="A217" s="3" t="s">
        <v>220</v>
      </c>
      <c r="B217" s="6">
        <v>13850</v>
      </c>
      <c r="C217" s="1">
        <v>216</v>
      </c>
      <c r="D217" s="1">
        <v>37.1</v>
      </c>
      <c r="E217" s="12">
        <f t="shared" si="3"/>
        <v>43.133333333333333</v>
      </c>
    </row>
    <row r="218" spans="1:5" x14ac:dyDescent="0.3">
      <c r="A218" s="3" t="s">
        <v>221</v>
      </c>
      <c r="B218" s="6">
        <v>13881</v>
      </c>
      <c r="C218" s="1">
        <v>217</v>
      </c>
      <c r="D218" s="1">
        <v>42.1</v>
      </c>
      <c r="E218" s="12">
        <f t="shared" si="3"/>
        <v>40.199999999999996</v>
      </c>
    </row>
    <row r="219" spans="1:5" x14ac:dyDescent="0.3">
      <c r="A219" s="3" t="s">
        <v>222</v>
      </c>
      <c r="B219" s="6">
        <v>13912</v>
      </c>
      <c r="C219" s="1">
        <v>218</v>
      </c>
      <c r="D219" s="1">
        <v>41.2</v>
      </c>
      <c r="E219" s="12">
        <f t="shared" si="3"/>
        <v>40.133333333333333</v>
      </c>
    </row>
    <row r="220" spans="1:5" x14ac:dyDescent="0.3">
      <c r="A220" s="3" t="s">
        <v>223</v>
      </c>
      <c r="B220" s="6">
        <v>13940</v>
      </c>
      <c r="C220" s="1">
        <v>219</v>
      </c>
      <c r="D220" s="1">
        <v>47.3</v>
      </c>
      <c r="E220" s="12">
        <f t="shared" si="3"/>
        <v>43.533333333333339</v>
      </c>
    </row>
    <row r="221" spans="1:5" x14ac:dyDescent="0.3">
      <c r="A221" s="3" t="s">
        <v>224</v>
      </c>
      <c r="B221" s="6">
        <v>13971</v>
      </c>
      <c r="C221" s="1">
        <v>220</v>
      </c>
      <c r="D221" s="1">
        <v>46.6</v>
      </c>
      <c r="E221" s="12">
        <f t="shared" si="3"/>
        <v>45.033333333333331</v>
      </c>
    </row>
    <row r="222" spans="1:5" x14ac:dyDescent="0.3">
      <c r="A222" s="3" t="s">
        <v>225</v>
      </c>
      <c r="B222" s="6">
        <v>14001</v>
      </c>
      <c r="C222" s="1">
        <v>221</v>
      </c>
      <c r="D222" s="1">
        <v>52.4</v>
      </c>
      <c r="E222" s="12">
        <f t="shared" si="3"/>
        <v>48.766666666666673</v>
      </c>
    </row>
    <row r="223" spans="1:5" x14ac:dyDescent="0.3">
      <c r="A223" s="3" t="s">
        <v>226</v>
      </c>
      <c r="B223" s="6">
        <v>14032</v>
      </c>
      <c r="C223" s="1">
        <v>222</v>
      </c>
      <c r="D223" s="1">
        <v>59</v>
      </c>
      <c r="E223" s="12">
        <f t="shared" si="3"/>
        <v>52.666666666666664</v>
      </c>
    </row>
    <row r="224" spans="1:5" x14ac:dyDescent="0.3">
      <c r="A224" s="3" t="s">
        <v>227</v>
      </c>
      <c r="B224" s="6">
        <v>14062</v>
      </c>
      <c r="C224" s="1">
        <v>223</v>
      </c>
      <c r="D224" s="1">
        <v>59.6</v>
      </c>
      <c r="E224" s="12">
        <f t="shared" si="3"/>
        <v>57</v>
      </c>
    </row>
    <row r="225" spans="1:5" x14ac:dyDescent="0.3">
      <c r="A225" s="3" t="s">
        <v>228</v>
      </c>
      <c r="B225" s="6">
        <v>14093</v>
      </c>
      <c r="C225" s="1">
        <v>224</v>
      </c>
      <c r="D225" s="1">
        <v>60.4</v>
      </c>
      <c r="E225" s="12">
        <f t="shared" si="3"/>
        <v>59.666666666666664</v>
      </c>
    </row>
    <row r="226" spans="1:5" x14ac:dyDescent="0.3">
      <c r="A226" s="3" t="s">
        <v>229</v>
      </c>
      <c r="B226" s="6">
        <v>14124</v>
      </c>
      <c r="C226" s="1">
        <v>225</v>
      </c>
      <c r="D226" s="1">
        <v>57</v>
      </c>
      <c r="E226" s="12">
        <f t="shared" si="3"/>
        <v>59</v>
      </c>
    </row>
    <row r="227" spans="1:5" x14ac:dyDescent="0.3">
      <c r="A227" s="3" t="s">
        <v>230</v>
      </c>
      <c r="B227" s="6">
        <v>14154</v>
      </c>
      <c r="C227" s="1">
        <v>226</v>
      </c>
      <c r="D227" s="1">
        <v>50.7</v>
      </c>
      <c r="E227" s="12">
        <f t="shared" si="3"/>
        <v>56.033333333333339</v>
      </c>
    </row>
    <row r="228" spans="1:5" x14ac:dyDescent="0.3">
      <c r="A228" s="3" t="s">
        <v>231</v>
      </c>
      <c r="B228" s="6">
        <v>14185</v>
      </c>
      <c r="C228" s="1">
        <v>227</v>
      </c>
      <c r="D228" s="1">
        <v>47.8</v>
      </c>
      <c r="E228" s="12">
        <f t="shared" si="3"/>
        <v>51.833333333333336</v>
      </c>
    </row>
    <row r="229" spans="1:5" x14ac:dyDescent="0.3">
      <c r="A229" s="3" t="s">
        <v>232</v>
      </c>
      <c r="B229" s="6">
        <v>14215</v>
      </c>
      <c r="C229" s="1">
        <v>228</v>
      </c>
      <c r="D229" s="1">
        <v>39.200000000000003</v>
      </c>
      <c r="E229" s="12">
        <f t="shared" si="3"/>
        <v>45.9</v>
      </c>
    </row>
    <row r="230" spans="1:5" x14ac:dyDescent="0.3">
      <c r="A230" s="3" t="s">
        <v>233</v>
      </c>
      <c r="B230" s="6">
        <v>14246</v>
      </c>
      <c r="C230" s="1">
        <v>229</v>
      </c>
      <c r="D230" s="1">
        <v>39.4</v>
      </c>
      <c r="E230" s="12">
        <f t="shared" si="3"/>
        <v>42.133333333333333</v>
      </c>
    </row>
    <row r="231" spans="1:5" x14ac:dyDescent="0.3">
      <c r="A231" s="3" t="s">
        <v>234</v>
      </c>
      <c r="B231" s="6">
        <v>14277</v>
      </c>
      <c r="C231" s="1">
        <v>230</v>
      </c>
      <c r="D231" s="1">
        <v>40.9</v>
      </c>
      <c r="E231" s="12">
        <f t="shared" si="3"/>
        <v>39.833333333333336</v>
      </c>
    </row>
    <row r="232" spans="1:5" x14ac:dyDescent="0.3">
      <c r="A232" s="3" t="s">
        <v>235</v>
      </c>
      <c r="B232" s="6">
        <v>14305</v>
      </c>
      <c r="C232" s="1">
        <v>231</v>
      </c>
      <c r="D232" s="1">
        <v>42.4</v>
      </c>
      <c r="E232" s="12">
        <f t="shared" si="3"/>
        <v>40.9</v>
      </c>
    </row>
    <row r="233" spans="1:5" x14ac:dyDescent="0.3">
      <c r="A233" s="3" t="s">
        <v>236</v>
      </c>
      <c r="B233" s="6">
        <v>14336</v>
      </c>
      <c r="C233" s="1">
        <v>232</v>
      </c>
      <c r="D233" s="1">
        <v>47.8</v>
      </c>
      <c r="E233" s="12">
        <f t="shared" si="3"/>
        <v>43.699999999999996</v>
      </c>
    </row>
    <row r="234" spans="1:5" x14ac:dyDescent="0.3">
      <c r="A234" s="3" t="s">
        <v>237</v>
      </c>
      <c r="B234" s="6">
        <v>14366</v>
      </c>
      <c r="C234" s="1">
        <v>233</v>
      </c>
      <c r="D234" s="1">
        <v>52.4</v>
      </c>
      <c r="E234" s="12">
        <f t="shared" si="3"/>
        <v>47.533333333333331</v>
      </c>
    </row>
    <row r="235" spans="1:5" x14ac:dyDescent="0.3">
      <c r="A235" s="3" t="s">
        <v>238</v>
      </c>
      <c r="B235" s="6">
        <v>14397</v>
      </c>
      <c r="C235" s="1">
        <v>234</v>
      </c>
      <c r="D235" s="1">
        <v>58</v>
      </c>
      <c r="E235" s="12">
        <f t="shared" si="3"/>
        <v>52.733333333333327</v>
      </c>
    </row>
    <row r="236" spans="1:5" x14ac:dyDescent="0.3">
      <c r="A236" s="3" t="s">
        <v>239</v>
      </c>
      <c r="B236" s="6">
        <v>14427</v>
      </c>
      <c r="C236" s="1">
        <v>235</v>
      </c>
      <c r="D236" s="1">
        <v>60.7</v>
      </c>
      <c r="E236" s="12">
        <f t="shared" si="3"/>
        <v>57.033333333333339</v>
      </c>
    </row>
    <row r="237" spans="1:5" x14ac:dyDescent="0.3">
      <c r="A237" s="3" t="s">
        <v>240</v>
      </c>
      <c r="B237" s="6">
        <v>14458</v>
      </c>
      <c r="C237" s="1">
        <v>236</v>
      </c>
      <c r="D237" s="1">
        <v>61.8</v>
      </c>
      <c r="E237" s="12">
        <f t="shared" si="3"/>
        <v>60.166666666666664</v>
      </c>
    </row>
    <row r="238" spans="1:5" x14ac:dyDescent="0.3">
      <c r="A238" s="3" t="s">
        <v>241</v>
      </c>
      <c r="B238" s="6">
        <v>14489</v>
      </c>
      <c r="C238" s="1">
        <v>237</v>
      </c>
      <c r="D238" s="1">
        <v>58.2</v>
      </c>
      <c r="E238" s="12">
        <f t="shared" si="3"/>
        <v>60.233333333333327</v>
      </c>
    </row>
    <row r="239" spans="1:5" x14ac:dyDescent="0.3">
      <c r="A239" s="3" t="s">
        <v>242</v>
      </c>
      <c r="B239" s="6">
        <v>14519</v>
      </c>
      <c r="C239" s="1">
        <v>238</v>
      </c>
      <c r="D239" s="1">
        <v>46.7</v>
      </c>
      <c r="E239" s="12">
        <f t="shared" si="3"/>
        <v>55.566666666666663</v>
      </c>
    </row>
    <row r="240" spans="1:5" x14ac:dyDescent="0.3">
      <c r="A240" s="3" t="s">
        <v>243</v>
      </c>
      <c r="B240" s="6">
        <v>14550</v>
      </c>
      <c r="C240" s="1">
        <v>239</v>
      </c>
      <c r="D240" s="1">
        <v>46.6</v>
      </c>
      <c r="E240" s="12">
        <f t="shared" si="3"/>
        <v>50.5</v>
      </c>
    </row>
    <row r="241" spans="1:5" x14ac:dyDescent="0.3">
      <c r="A241" s="3" t="s">
        <v>244</v>
      </c>
      <c r="B241" s="6">
        <v>14580</v>
      </c>
      <c r="C241" s="1">
        <v>240</v>
      </c>
      <c r="D241" s="1">
        <v>37.799999999999997</v>
      </c>
      <c r="E241" s="12">
        <f t="shared" si="3"/>
        <v>43.70000000000001</v>
      </c>
    </row>
  </sheetData>
  <mergeCells count="1">
    <mergeCell ref="G1:N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Q147"/>
  <sheetViews>
    <sheetView workbookViewId="0">
      <selection activeCell="F3" sqref="F3"/>
    </sheetView>
  </sheetViews>
  <sheetFormatPr defaultRowHeight="15.6" x14ac:dyDescent="0.3"/>
  <cols>
    <col min="1" max="1" width="10.109375" style="1" customWidth="1"/>
    <col min="2" max="2" width="21.5546875" style="5" customWidth="1"/>
    <col min="3" max="3" width="20" style="1" customWidth="1"/>
    <col min="4" max="4" width="17.6640625" style="1" customWidth="1"/>
    <col min="5" max="5" width="11.5546875" customWidth="1"/>
    <col min="6" max="6" width="11" customWidth="1"/>
    <col min="7" max="7" width="21.5546875" customWidth="1"/>
    <col min="8" max="8" width="13.88671875" customWidth="1"/>
  </cols>
  <sheetData>
    <row r="1" spans="1:17" ht="15.6" customHeight="1" x14ac:dyDescent="0.3">
      <c r="A1" s="1" t="s">
        <v>245</v>
      </c>
      <c r="B1" s="4" t="s">
        <v>1</v>
      </c>
      <c r="C1" s="1" t="s">
        <v>2</v>
      </c>
      <c r="D1" s="1" t="s">
        <v>246</v>
      </c>
      <c r="G1" s="8" t="s">
        <v>4</v>
      </c>
      <c r="I1" s="9"/>
      <c r="J1" s="9"/>
      <c r="K1" s="9"/>
      <c r="L1" s="9"/>
      <c r="M1" s="9"/>
      <c r="N1" s="9"/>
      <c r="O1" s="9"/>
      <c r="P1" s="9"/>
      <c r="Q1" s="9"/>
    </row>
    <row r="2" spans="1:17" ht="15.6" customHeight="1" x14ac:dyDescent="0.3">
      <c r="A2" s="1" t="s">
        <v>247</v>
      </c>
      <c r="B2" s="4">
        <v>17899</v>
      </c>
      <c r="C2" s="1">
        <v>1</v>
      </c>
      <c r="D2" s="1">
        <v>112</v>
      </c>
      <c r="F2" s="2"/>
      <c r="G2" s="2"/>
      <c r="H2" s="2"/>
      <c r="I2" s="9"/>
      <c r="J2" s="9"/>
      <c r="K2" s="9"/>
      <c r="L2" s="9"/>
      <c r="M2" s="9"/>
      <c r="N2" s="9"/>
      <c r="O2" s="9"/>
      <c r="P2" s="9"/>
      <c r="Q2" s="9"/>
    </row>
    <row r="3" spans="1:17" ht="15.6" customHeight="1" x14ac:dyDescent="0.3">
      <c r="A3" s="1" t="s">
        <v>248</v>
      </c>
      <c r="B3" s="4">
        <v>17930</v>
      </c>
      <c r="C3" s="1">
        <v>2</v>
      </c>
      <c r="D3" s="1">
        <v>118</v>
      </c>
      <c r="G3" s="2"/>
      <c r="H3" s="2"/>
      <c r="I3" s="9"/>
      <c r="J3" s="9"/>
      <c r="K3" s="9"/>
      <c r="L3" s="9"/>
      <c r="M3" s="9"/>
      <c r="N3" s="9"/>
      <c r="O3" s="9"/>
      <c r="P3" s="9"/>
      <c r="Q3" s="9"/>
    </row>
    <row r="4" spans="1:17" ht="15.6" customHeight="1" x14ac:dyDescent="0.3">
      <c r="A4" s="1" t="s">
        <v>249</v>
      </c>
      <c r="B4" s="4">
        <v>17958</v>
      </c>
      <c r="C4" s="1">
        <v>3</v>
      </c>
      <c r="D4" s="1">
        <v>132</v>
      </c>
      <c r="H4" s="2"/>
      <c r="I4" s="9"/>
      <c r="J4" s="9"/>
      <c r="K4" s="9"/>
      <c r="L4" s="9"/>
      <c r="M4" s="9"/>
      <c r="N4" s="9"/>
      <c r="O4" s="9"/>
      <c r="P4" s="9"/>
      <c r="Q4" s="9"/>
    </row>
    <row r="5" spans="1:17" ht="15.6" customHeight="1" x14ac:dyDescent="0.3">
      <c r="A5" s="1" t="s">
        <v>250</v>
      </c>
      <c r="B5" s="4">
        <v>17989</v>
      </c>
      <c r="C5" s="1">
        <v>4</v>
      </c>
      <c r="D5" s="1">
        <v>129</v>
      </c>
    </row>
    <row r="6" spans="1:17" x14ac:dyDescent="0.3">
      <c r="A6" s="1" t="s">
        <v>251</v>
      </c>
      <c r="B6" s="4">
        <v>18019</v>
      </c>
      <c r="C6" s="1">
        <v>5</v>
      </c>
      <c r="D6" s="1">
        <v>121</v>
      </c>
    </row>
    <row r="7" spans="1:17" x14ac:dyDescent="0.3">
      <c r="A7" s="1" t="s">
        <v>252</v>
      </c>
      <c r="B7" s="4">
        <v>18050</v>
      </c>
      <c r="C7" s="1">
        <v>6</v>
      </c>
      <c r="D7" s="1">
        <v>135</v>
      </c>
      <c r="G7">
        <f t="shared" ref="G7:G38" si="0">AVERAGE(D2:D5)</f>
        <v>122.75</v>
      </c>
    </row>
    <row r="8" spans="1:17" x14ac:dyDescent="0.3">
      <c r="A8" s="1" t="s">
        <v>253</v>
      </c>
      <c r="B8" s="4">
        <v>18080</v>
      </c>
      <c r="C8" s="1">
        <v>7</v>
      </c>
      <c r="D8" s="1">
        <v>148</v>
      </c>
      <c r="G8">
        <f t="shared" si="0"/>
        <v>125</v>
      </c>
    </row>
    <row r="9" spans="1:17" x14ac:dyDescent="0.3">
      <c r="A9" s="1" t="s">
        <v>254</v>
      </c>
      <c r="B9" s="4">
        <v>18111</v>
      </c>
      <c r="C9" s="1">
        <v>8</v>
      </c>
      <c r="D9" s="1">
        <v>148</v>
      </c>
      <c r="G9">
        <f t="shared" si="0"/>
        <v>129.25</v>
      </c>
    </row>
    <row r="10" spans="1:17" x14ac:dyDescent="0.3">
      <c r="A10" s="1" t="s">
        <v>255</v>
      </c>
      <c r="B10" s="4">
        <v>18142</v>
      </c>
      <c r="C10" s="1">
        <v>9</v>
      </c>
      <c r="D10" s="1">
        <v>136</v>
      </c>
      <c r="G10">
        <f t="shared" si="0"/>
        <v>133.25</v>
      </c>
    </row>
    <row r="11" spans="1:17" x14ac:dyDescent="0.3">
      <c r="A11" s="1" t="s">
        <v>256</v>
      </c>
      <c r="B11" s="4">
        <v>18172</v>
      </c>
      <c r="C11" s="1">
        <v>10</v>
      </c>
      <c r="D11" s="1">
        <v>119</v>
      </c>
      <c r="G11">
        <f t="shared" si="0"/>
        <v>138</v>
      </c>
    </row>
    <row r="12" spans="1:17" x14ac:dyDescent="0.3">
      <c r="A12" s="1" t="s">
        <v>257</v>
      </c>
      <c r="B12" s="4">
        <v>18203</v>
      </c>
      <c r="C12" s="1">
        <v>11</v>
      </c>
      <c r="D12" s="1">
        <v>104</v>
      </c>
      <c r="G12">
        <f t="shared" si="0"/>
        <v>141.75</v>
      </c>
    </row>
    <row r="13" spans="1:17" x14ac:dyDescent="0.3">
      <c r="A13" s="1" t="s">
        <v>258</v>
      </c>
      <c r="B13" s="4">
        <v>18233</v>
      </c>
      <c r="C13" s="1">
        <v>12</v>
      </c>
      <c r="D13" s="1">
        <v>118</v>
      </c>
      <c r="G13">
        <f t="shared" si="0"/>
        <v>137.75</v>
      </c>
    </row>
    <row r="14" spans="1:17" x14ac:dyDescent="0.3">
      <c r="A14" s="1" t="s">
        <v>259</v>
      </c>
      <c r="B14" s="4">
        <v>18264</v>
      </c>
      <c r="C14" s="1">
        <v>13</v>
      </c>
      <c r="D14" s="1">
        <v>115</v>
      </c>
      <c r="G14">
        <f t="shared" si="0"/>
        <v>126.75</v>
      </c>
    </row>
    <row r="15" spans="1:17" x14ac:dyDescent="0.3">
      <c r="A15" s="1" t="s">
        <v>260</v>
      </c>
      <c r="B15" s="4">
        <v>18295</v>
      </c>
      <c r="C15" s="1">
        <v>14</v>
      </c>
      <c r="D15" s="1">
        <v>126</v>
      </c>
      <c r="G15">
        <f t="shared" si="0"/>
        <v>119.25</v>
      </c>
    </row>
    <row r="16" spans="1:17" x14ac:dyDescent="0.3">
      <c r="A16" s="1" t="s">
        <v>261</v>
      </c>
      <c r="B16" s="4">
        <v>18323</v>
      </c>
      <c r="C16" s="1">
        <v>15</v>
      </c>
      <c r="D16" s="1">
        <v>141</v>
      </c>
      <c r="G16">
        <f t="shared" si="0"/>
        <v>114</v>
      </c>
    </row>
    <row r="17" spans="1:7" x14ac:dyDescent="0.3">
      <c r="A17" s="1" t="s">
        <v>262</v>
      </c>
      <c r="B17" s="4">
        <v>18354</v>
      </c>
      <c r="C17" s="1">
        <v>16</v>
      </c>
      <c r="D17" s="1">
        <v>135</v>
      </c>
      <c r="G17">
        <f t="shared" si="0"/>
        <v>115.75</v>
      </c>
    </row>
    <row r="18" spans="1:7" x14ac:dyDescent="0.3">
      <c r="A18" s="1" t="s">
        <v>263</v>
      </c>
      <c r="B18" s="4">
        <v>18384</v>
      </c>
      <c r="C18" s="1">
        <v>17</v>
      </c>
      <c r="D18" s="1">
        <v>125</v>
      </c>
      <c r="G18">
        <f t="shared" si="0"/>
        <v>125</v>
      </c>
    </row>
    <row r="19" spans="1:7" x14ac:dyDescent="0.3">
      <c r="A19" s="1" t="s">
        <v>264</v>
      </c>
      <c r="B19" s="4">
        <v>18415</v>
      </c>
      <c r="C19" s="1">
        <v>18</v>
      </c>
      <c r="D19" s="1">
        <v>149</v>
      </c>
      <c r="G19">
        <f t="shared" si="0"/>
        <v>129.25</v>
      </c>
    </row>
    <row r="20" spans="1:7" x14ac:dyDescent="0.3">
      <c r="A20" s="1" t="s">
        <v>265</v>
      </c>
      <c r="B20" s="4">
        <v>18445</v>
      </c>
      <c r="C20" s="1">
        <v>19</v>
      </c>
      <c r="D20" s="1">
        <v>170</v>
      </c>
      <c r="G20">
        <f t="shared" si="0"/>
        <v>131.75</v>
      </c>
    </row>
    <row r="21" spans="1:7" x14ac:dyDescent="0.3">
      <c r="A21" s="1" t="s">
        <v>266</v>
      </c>
      <c r="B21" s="4">
        <v>18476</v>
      </c>
      <c r="C21" s="1">
        <v>20</v>
      </c>
      <c r="D21" s="1">
        <v>170</v>
      </c>
      <c r="G21">
        <f t="shared" si="0"/>
        <v>137.5</v>
      </c>
    </row>
    <row r="22" spans="1:7" x14ac:dyDescent="0.3">
      <c r="A22" s="1" t="s">
        <v>267</v>
      </c>
      <c r="B22" s="4">
        <v>18507</v>
      </c>
      <c r="C22" s="1">
        <v>21</v>
      </c>
      <c r="D22" s="1">
        <v>158</v>
      </c>
      <c r="G22">
        <f t="shared" si="0"/>
        <v>144.75</v>
      </c>
    </row>
    <row r="23" spans="1:7" x14ac:dyDescent="0.3">
      <c r="A23" s="1" t="s">
        <v>268</v>
      </c>
      <c r="B23" s="4">
        <v>18537</v>
      </c>
      <c r="C23" s="1">
        <v>22</v>
      </c>
      <c r="D23" s="1">
        <v>133</v>
      </c>
      <c r="G23">
        <f t="shared" si="0"/>
        <v>153.5</v>
      </c>
    </row>
    <row r="24" spans="1:7" x14ac:dyDescent="0.3">
      <c r="A24" s="1" t="s">
        <v>269</v>
      </c>
      <c r="B24" s="4">
        <v>18568</v>
      </c>
      <c r="C24" s="1">
        <v>23</v>
      </c>
      <c r="D24" s="1">
        <v>114</v>
      </c>
      <c r="G24">
        <f t="shared" si="0"/>
        <v>161.75</v>
      </c>
    </row>
    <row r="25" spans="1:7" x14ac:dyDescent="0.3">
      <c r="A25" s="1" t="s">
        <v>270</v>
      </c>
      <c r="B25" s="4">
        <v>18598</v>
      </c>
      <c r="C25" s="1">
        <v>24</v>
      </c>
      <c r="D25" s="1">
        <v>140</v>
      </c>
      <c r="G25">
        <f t="shared" si="0"/>
        <v>157.75</v>
      </c>
    </row>
    <row r="26" spans="1:7" x14ac:dyDescent="0.3">
      <c r="A26" s="1" t="s">
        <v>271</v>
      </c>
      <c r="B26" s="4">
        <v>18629</v>
      </c>
      <c r="C26" s="1">
        <v>25</v>
      </c>
      <c r="D26" s="1">
        <v>145</v>
      </c>
      <c r="G26">
        <f t="shared" si="0"/>
        <v>143.75</v>
      </c>
    </row>
    <row r="27" spans="1:7" x14ac:dyDescent="0.3">
      <c r="A27" s="1" t="s">
        <v>272</v>
      </c>
      <c r="B27" s="4">
        <v>18660</v>
      </c>
      <c r="C27" s="1">
        <v>26</v>
      </c>
      <c r="D27" s="1">
        <v>150</v>
      </c>
      <c r="G27">
        <f t="shared" si="0"/>
        <v>136.25</v>
      </c>
    </row>
    <row r="28" spans="1:7" x14ac:dyDescent="0.3">
      <c r="A28" s="1" t="s">
        <v>273</v>
      </c>
      <c r="B28" s="4">
        <v>18688</v>
      </c>
      <c r="C28" s="1">
        <v>27</v>
      </c>
      <c r="D28" s="1">
        <v>178</v>
      </c>
      <c r="G28">
        <f t="shared" si="0"/>
        <v>133</v>
      </c>
    </row>
    <row r="29" spans="1:7" x14ac:dyDescent="0.3">
      <c r="A29" s="1" t="s">
        <v>274</v>
      </c>
      <c r="B29" s="4">
        <v>18719</v>
      </c>
      <c r="C29" s="1">
        <v>28</v>
      </c>
      <c r="D29" s="1">
        <v>163</v>
      </c>
      <c r="G29">
        <f t="shared" si="0"/>
        <v>137.25</v>
      </c>
    </row>
    <row r="30" spans="1:7" x14ac:dyDescent="0.3">
      <c r="A30" s="1" t="s">
        <v>275</v>
      </c>
      <c r="B30" s="4">
        <v>18749</v>
      </c>
      <c r="C30" s="1">
        <v>29</v>
      </c>
      <c r="D30" s="1">
        <v>172</v>
      </c>
      <c r="G30">
        <f t="shared" si="0"/>
        <v>153.25</v>
      </c>
    </row>
    <row r="31" spans="1:7" x14ac:dyDescent="0.3">
      <c r="A31" s="1" t="s">
        <v>276</v>
      </c>
      <c r="B31" s="4">
        <v>18780</v>
      </c>
      <c r="C31" s="1">
        <v>30</v>
      </c>
      <c r="D31" s="1">
        <v>178</v>
      </c>
      <c r="G31">
        <f t="shared" si="0"/>
        <v>159</v>
      </c>
    </row>
    <row r="32" spans="1:7" x14ac:dyDescent="0.3">
      <c r="A32" s="1" t="s">
        <v>277</v>
      </c>
      <c r="B32" s="4">
        <v>18810</v>
      </c>
      <c r="C32" s="1">
        <v>31</v>
      </c>
      <c r="D32" s="1">
        <v>199</v>
      </c>
      <c r="G32">
        <f t="shared" si="0"/>
        <v>165.75</v>
      </c>
    </row>
    <row r="33" spans="1:7" x14ac:dyDescent="0.3">
      <c r="A33" s="1" t="s">
        <v>278</v>
      </c>
      <c r="B33" s="4">
        <v>18841</v>
      </c>
      <c r="C33" s="1">
        <v>32</v>
      </c>
      <c r="D33" s="1">
        <v>199</v>
      </c>
      <c r="G33">
        <f t="shared" si="0"/>
        <v>172.75</v>
      </c>
    </row>
    <row r="34" spans="1:7" x14ac:dyDescent="0.3">
      <c r="A34" s="1" t="s">
        <v>279</v>
      </c>
      <c r="B34" s="4">
        <v>18872</v>
      </c>
      <c r="C34" s="1">
        <v>33</v>
      </c>
      <c r="D34" s="1">
        <v>184</v>
      </c>
      <c r="G34">
        <f t="shared" si="0"/>
        <v>178</v>
      </c>
    </row>
    <row r="35" spans="1:7" x14ac:dyDescent="0.3">
      <c r="A35" s="1" t="s">
        <v>280</v>
      </c>
      <c r="B35" s="4">
        <v>18902</v>
      </c>
      <c r="C35" s="1">
        <v>34</v>
      </c>
      <c r="D35" s="1">
        <v>162</v>
      </c>
      <c r="G35">
        <f t="shared" si="0"/>
        <v>187</v>
      </c>
    </row>
    <row r="36" spans="1:7" x14ac:dyDescent="0.3">
      <c r="A36" s="1" t="s">
        <v>281</v>
      </c>
      <c r="B36" s="4">
        <v>18933</v>
      </c>
      <c r="C36" s="1">
        <v>35</v>
      </c>
      <c r="D36" s="1">
        <v>146</v>
      </c>
      <c r="G36">
        <f t="shared" si="0"/>
        <v>190</v>
      </c>
    </row>
    <row r="37" spans="1:7" x14ac:dyDescent="0.3">
      <c r="A37" s="1" t="s">
        <v>282</v>
      </c>
      <c r="B37" s="4">
        <v>18963</v>
      </c>
      <c r="C37" s="1">
        <v>36</v>
      </c>
      <c r="D37" s="1">
        <v>166</v>
      </c>
      <c r="G37">
        <f t="shared" si="0"/>
        <v>186</v>
      </c>
    </row>
    <row r="38" spans="1:7" x14ac:dyDescent="0.3">
      <c r="A38" s="1" t="s">
        <v>283</v>
      </c>
      <c r="B38" s="4">
        <v>18994</v>
      </c>
      <c r="C38" s="1">
        <v>37</v>
      </c>
      <c r="D38" s="1">
        <v>171</v>
      </c>
      <c r="G38">
        <f t="shared" si="0"/>
        <v>172.75</v>
      </c>
    </row>
    <row r="39" spans="1:7" x14ac:dyDescent="0.3">
      <c r="A39" s="1" t="s">
        <v>284</v>
      </c>
      <c r="B39" s="4">
        <v>19025</v>
      </c>
      <c r="C39" s="1">
        <v>38</v>
      </c>
      <c r="D39" s="1">
        <v>180</v>
      </c>
      <c r="G39">
        <f t="shared" ref="G39:G70" si="1">AVERAGE(D34:D37)</f>
        <v>164.5</v>
      </c>
    </row>
    <row r="40" spans="1:7" x14ac:dyDescent="0.3">
      <c r="A40" s="1" t="s">
        <v>285</v>
      </c>
      <c r="B40" s="4">
        <v>19054</v>
      </c>
      <c r="C40" s="1">
        <v>39</v>
      </c>
      <c r="D40" s="1">
        <v>193</v>
      </c>
      <c r="G40">
        <f t="shared" si="1"/>
        <v>161.25</v>
      </c>
    </row>
    <row r="41" spans="1:7" x14ac:dyDescent="0.3">
      <c r="A41" s="1" t="s">
        <v>286</v>
      </c>
      <c r="B41" s="4">
        <v>19085</v>
      </c>
      <c r="C41" s="1">
        <v>40</v>
      </c>
      <c r="D41" s="1">
        <v>181</v>
      </c>
      <c r="G41">
        <f t="shared" si="1"/>
        <v>165.75</v>
      </c>
    </row>
    <row r="42" spans="1:7" x14ac:dyDescent="0.3">
      <c r="A42" s="1" t="s">
        <v>287</v>
      </c>
      <c r="B42" s="4">
        <v>19115</v>
      </c>
      <c r="C42" s="1">
        <v>41</v>
      </c>
      <c r="D42" s="1">
        <v>183</v>
      </c>
      <c r="G42">
        <f t="shared" si="1"/>
        <v>177.5</v>
      </c>
    </row>
    <row r="43" spans="1:7" x14ac:dyDescent="0.3">
      <c r="A43" s="1" t="s">
        <v>288</v>
      </c>
      <c r="B43" s="4">
        <v>19146</v>
      </c>
      <c r="C43" s="1">
        <v>42</v>
      </c>
      <c r="D43" s="1">
        <v>218</v>
      </c>
      <c r="G43">
        <f t="shared" si="1"/>
        <v>181.25</v>
      </c>
    </row>
    <row r="44" spans="1:7" x14ac:dyDescent="0.3">
      <c r="A44" s="1" t="s">
        <v>289</v>
      </c>
      <c r="B44" s="4">
        <v>19176</v>
      </c>
      <c r="C44" s="1">
        <v>43</v>
      </c>
      <c r="D44" s="1">
        <v>230</v>
      </c>
      <c r="G44">
        <f t="shared" si="1"/>
        <v>184.25</v>
      </c>
    </row>
    <row r="45" spans="1:7" x14ac:dyDescent="0.3">
      <c r="A45" s="1" t="s">
        <v>290</v>
      </c>
      <c r="B45" s="4">
        <v>19207</v>
      </c>
      <c r="C45" s="1">
        <v>44</v>
      </c>
      <c r="D45" s="1">
        <v>242</v>
      </c>
      <c r="G45">
        <f t="shared" si="1"/>
        <v>193.75</v>
      </c>
    </row>
    <row r="46" spans="1:7" x14ac:dyDescent="0.3">
      <c r="A46" s="1" t="s">
        <v>291</v>
      </c>
      <c r="B46" s="4">
        <v>19238</v>
      </c>
      <c r="C46" s="1">
        <v>45</v>
      </c>
      <c r="D46" s="1">
        <v>209</v>
      </c>
      <c r="G46">
        <f t="shared" si="1"/>
        <v>203</v>
      </c>
    </row>
    <row r="47" spans="1:7" x14ac:dyDescent="0.3">
      <c r="A47" s="1" t="s">
        <v>292</v>
      </c>
      <c r="B47" s="4">
        <v>19268</v>
      </c>
      <c r="C47" s="1">
        <v>46</v>
      </c>
      <c r="D47" s="1">
        <v>191</v>
      </c>
      <c r="G47">
        <f t="shared" si="1"/>
        <v>218.25</v>
      </c>
    </row>
    <row r="48" spans="1:7" x14ac:dyDescent="0.3">
      <c r="A48" s="1" t="s">
        <v>293</v>
      </c>
      <c r="B48" s="4">
        <v>19299</v>
      </c>
      <c r="C48" s="1">
        <v>47</v>
      </c>
      <c r="D48" s="1">
        <v>172</v>
      </c>
      <c r="G48">
        <f t="shared" si="1"/>
        <v>224.75</v>
      </c>
    </row>
    <row r="49" spans="1:7" x14ac:dyDescent="0.3">
      <c r="A49" s="1" t="s">
        <v>294</v>
      </c>
      <c r="B49" s="4">
        <v>19329</v>
      </c>
      <c r="C49" s="1">
        <v>48</v>
      </c>
      <c r="D49" s="1">
        <v>194</v>
      </c>
      <c r="G49">
        <f t="shared" si="1"/>
        <v>218</v>
      </c>
    </row>
    <row r="50" spans="1:7" x14ac:dyDescent="0.3">
      <c r="A50" s="1" t="s">
        <v>295</v>
      </c>
      <c r="B50" s="4">
        <v>19360</v>
      </c>
      <c r="C50" s="1">
        <v>49</v>
      </c>
      <c r="D50" s="1">
        <v>196</v>
      </c>
      <c r="G50">
        <f t="shared" si="1"/>
        <v>203.5</v>
      </c>
    </row>
    <row r="51" spans="1:7" x14ac:dyDescent="0.3">
      <c r="A51" s="1" t="s">
        <v>296</v>
      </c>
      <c r="B51" s="4">
        <v>19391</v>
      </c>
      <c r="C51" s="1">
        <v>50</v>
      </c>
      <c r="D51" s="1">
        <v>196</v>
      </c>
      <c r="G51">
        <f t="shared" si="1"/>
        <v>191.5</v>
      </c>
    </row>
    <row r="52" spans="1:7" x14ac:dyDescent="0.3">
      <c r="A52" s="1" t="s">
        <v>297</v>
      </c>
      <c r="B52" s="4">
        <v>19419</v>
      </c>
      <c r="C52" s="1">
        <v>51</v>
      </c>
      <c r="D52" s="1">
        <v>236</v>
      </c>
      <c r="G52">
        <f t="shared" si="1"/>
        <v>188.25</v>
      </c>
    </row>
    <row r="53" spans="1:7" x14ac:dyDescent="0.3">
      <c r="A53" s="1" t="s">
        <v>298</v>
      </c>
      <c r="B53" s="4">
        <v>19450</v>
      </c>
      <c r="C53" s="1">
        <v>52</v>
      </c>
      <c r="D53" s="1">
        <v>235</v>
      </c>
      <c r="G53">
        <f t="shared" si="1"/>
        <v>189.5</v>
      </c>
    </row>
    <row r="54" spans="1:7" x14ac:dyDescent="0.3">
      <c r="A54" s="1" t="s">
        <v>299</v>
      </c>
      <c r="B54" s="4">
        <v>19480</v>
      </c>
      <c r="C54" s="1">
        <v>53</v>
      </c>
      <c r="D54" s="1">
        <v>229</v>
      </c>
      <c r="G54">
        <f t="shared" si="1"/>
        <v>205.5</v>
      </c>
    </row>
    <row r="55" spans="1:7" x14ac:dyDescent="0.3">
      <c r="A55" s="1" t="s">
        <v>300</v>
      </c>
      <c r="B55" s="4">
        <v>19511</v>
      </c>
      <c r="C55" s="1">
        <v>54</v>
      </c>
      <c r="D55" s="1">
        <v>243</v>
      </c>
      <c r="G55">
        <f t="shared" si="1"/>
        <v>215.75</v>
      </c>
    </row>
    <row r="56" spans="1:7" x14ac:dyDescent="0.3">
      <c r="A56" s="1" t="s">
        <v>301</v>
      </c>
      <c r="B56" s="4">
        <v>19541</v>
      </c>
      <c r="C56" s="1">
        <v>55</v>
      </c>
      <c r="D56" s="1">
        <v>264</v>
      </c>
      <c r="G56">
        <f t="shared" si="1"/>
        <v>224</v>
      </c>
    </row>
    <row r="57" spans="1:7" x14ac:dyDescent="0.3">
      <c r="A57" s="1" t="s">
        <v>302</v>
      </c>
      <c r="B57" s="4">
        <v>19572</v>
      </c>
      <c r="C57" s="1">
        <v>56</v>
      </c>
      <c r="D57" s="1">
        <v>272</v>
      </c>
      <c r="G57">
        <f t="shared" si="1"/>
        <v>235.75</v>
      </c>
    </row>
    <row r="58" spans="1:7" x14ac:dyDescent="0.3">
      <c r="A58" s="1" t="s">
        <v>303</v>
      </c>
      <c r="B58" s="4">
        <v>19603</v>
      </c>
      <c r="C58" s="1">
        <v>57</v>
      </c>
      <c r="D58" s="1">
        <v>237</v>
      </c>
      <c r="G58">
        <f t="shared" si="1"/>
        <v>242.75</v>
      </c>
    </row>
    <row r="59" spans="1:7" x14ac:dyDescent="0.3">
      <c r="A59" s="1" t="s">
        <v>304</v>
      </c>
      <c r="B59" s="4">
        <v>19633</v>
      </c>
      <c r="C59" s="1">
        <v>58</v>
      </c>
      <c r="D59" s="1">
        <v>211</v>
      </c>
      <c r="G59">
        <f t="shared" si="1"/>
        <v>252</v>
      </c>
    </row>
    <row r="60" spans="1:7" x14ac:dyDescent="0.3">
      <c r="A60" s="1" t="s">
        <v>305</v>
      </c>
      <c r="B60" s="4">
        <v>19664</v>
      </c>
      <c r="C60" s="1">
        <v>59</v>
      </c>
      <c r="D60" s="1">
        <v>180</v>
      </c>
      <c r="G60">
        <f t="shared" si="1"/>
        <v>254</v>
      </c>
    </row>
    <row r="61" spans="1:7" x14ac:dyDescent="0.3">
      <c r="A61" s="1" t="s">
        <v>306</v>
      </c>
      <c r="B61" s="4">
        <v>19694</v>
      </c>
      <c r="C61" s="1">
        <v>60</v>
      </c>
      <c r="D61" s="1">
        <v>201</v>
      </c>
      <c r="G61">
        <f t="shared" si="1"/>
        <v>246</v>
      </c>
    </row>
    <row r="62" spans="1:7" x14ac:dyDescent="0.3">
      <c r="A62" s="1" t="s">
        <v>307</v>
      </c>
      <c r="B62" s="4">
        <v>19725</v>
      </c>
      <c r="C62" s="1">
        <v>61</v>
      </c>
      <c r="D62" s="1">
        <v>204</v>
      </c>
      <c r="G62">
        <f t="shared" si="1"/>
        <v>225</v>
      </c>
    </row>
    <row r="63" spans="1:7" x14ac:dyDescent="0.3">
      <c r="A63" s="1" t="s">
        <v>308</v>
      </c>
      <c r="B63" s="4">
        <v>19756</v>
      </c>
      <c r="C63" s="1">
        <v>62</v>
      </c>
      <c r="D63" s="1">
        <v>188</v>
      </c>
      <c r="G63">
        <f t="shared" si="1"/>
        <v>207.25</v>
      </c>
    </row>
    <row r="64" spans="1:7" x14ac:dyDescent="0.3">
      <c r="A64" s="1" t="s">
        <v>309</v>
      </c>
      <c r="B64" s="4">
        <v>19784</v>
      </c>
      <c r="C64" s="1">
        <v>63</v>
      </c>
      <c r="D64" s="1">
        <v>235</v>
      </c>
      <c r="G64">
        <f t="shared" si="1"/>
        <v>199</v>
      </c>
    </row>
    <row r="65" spans="1:7" x14ac:dyDescent="0.3">
      <c r="A65" s="1" t="s">
        <v>310</v>
      </c>
      <c r="B65" s="4">
        <v>19815</v>
      </c>
      <c r="C65" s="1">
        <v>64</v>
      </c>
      <c r="D65" s="1">
        <v>227</v>
      </c>
      <c r="G65">
        <f t="shared" si="1"/>
        <v>193.25</v>
      </c>
    </row>
    <row r="66" spans="1:7" x14ac:dyDescent="0.3">
      <c r="A66" s="1" t="s">
        <v>311</v>
      </c>
      <c r="B66" s="4">
        <v>19845</v>
      </c>
      <c r="C66" s="1">
        <v>65</v>
      </c>
      <c r="D66" s="1">
        <v>234</v>
      </c>
      <c r="G66">
        <f t="shared" si="1"/>
        <v>207</v>
      </c>
    </row>
    <row r="67" spans="1:7" x14ac:dyDescent="0.3">
      <c r="A67" s="1" t="s">
        <v>312</v>
      </c>
      <c r="B67" s="4">
        <v>19876</v>
      </c>
      <c r="C67" s="1">
        <v>66</v>
      </c>
      <c r="D67" s="1">
        <v>264</v>
      </c>
      <c r="G67">
        <f t="shared" si="1"/>
        <v>213.5</v>
      </c>
    </row>
    <row r="68" spans="1:7" x14ac:dyDescent="0.3">
      <c r="A68" s="1" t="s">
        <v>313</v>
      </c>
      <c r="B68" s="4">
        <v>19906</v>
      </c>
      <c r="C68" s="1">
        <v>67</v>
      </c>
      <c r="D68" s="1">
        <v>302</v>
      </c>
      <c r="G68">
        <f t="shared" si="1"/>
        <v>221</v>
      </c>
    </row>
    <row r="69" spans="1:7" x14ac:dyDescent="0.3">
      <c r="A69" s="1" t="s">
        <v>314</v>
      </c>
      <c r="B69" s="4">
        <v>19937</v>
      </c>
      <c r="C69" s="1">
        <v>68</v>
      </c>
      <c r="D69" s="1">
        <v>293</v>
      </c>
      <c r="G69">
        <f t="shared" si="1"/>
        <v>240</v>
      </c>
    </row>
    <row r="70" spans="1:7" x14ac:dyDescent="0.3">
      <c r="A70" s="1" t="s">
        <v>315</v>
      </c>
      <c r="B70" s="4">
        <v>19968</v>
      </c>
      <c r="C70" s="1">
        <v>69</v>
      </c>
      <c r="D70" s="1">
        <v>259</v>
      </c>
      <c r="G70">
        <f t="shared" si="1"/>
        <v>256.75</v>
      </c>
    </row>
    <row r="71" spans="1:7" x14ac:dyDescent="0.3">
      <c r="A71" s="1" t="s">
        <v>316</v>
      </c>
      <c r="B71" s="4">
        <v>19998</v>
      </c>
      <c r="C71" s="1">
        <v>70</v>
      </c>
      <c r="D71" s="1">
        <v>229</v>
      </c>
      <c r="G71">
        <f t="shared" ref="G71:G102" si="2">AVERAGE(D66:D69)</f>
        <v>273.25</v>
      </c>
    </row>
    <row r="72" spans="1:7" x14ac:dyDescent="0.3">
      <c r="A72" s="1" t="s">
        <v>317</v>
      </c>
      <c r="B72" s="4">
        <v>20029</v>
      </c>
      <c r="C72" s="1">
        <v>71</v>
      </c>
      <c r="D72" s="1">
        <v>203</v>
      </c>
      <c r="G72">
        <f t="shared" si="2"/>
        <v>279.5</v>
      </c>
    </row>
    <row r="73" spans="1:7" x14ac:dyDescent="0.3">
      <c r="A73" s="1" t="s">
        <v>318</v>
      </c>
      <c r="B73" s="4">
        <v>20059</v>
      </c>
      <c r="C73" s="1">
        <v>72</v>
      </c>
      <c r="D73" s="1">
        <v>229</v>
      </c>
      <c r="G73">
        <f t="shared" si="2"/>
        <v>270.75</v>
      </c>
    </row>
    <row r="74" spans="1:7" x14ac:dyDescent="0.3">
      <c r="A74" s="1" t="s">
        <v>319</v>
      </c>
      <c r="B74" s="4">
        <v>20090</v>
      </c>
      <c r="C74" s="1">
        <v>73</v>
      </c>
      <c r="D74" s="1">
        <v>242</v>
      </c>
      <c r="G74">
        <f t="shared" si="2"/>
        <v>246</v>
      </c>
    </row>
    <row r="75" spans="1:7" x14ac:dyDescent="0.3">
      <c r="A75" s="1" t="s">
        <v>320</v>
      </c>
      <c r="B75" s="4">
        <v>20121</v>
      </c>
      <c r="C75" s="1">
        <v>74</v>
      </c>
      <c r="D75" s="1">
        <v>233</v>
      </c>
      <c r="G75">
        <f t="shared" si="2"/>
        <v>230</v>
      </c>
    </row>
    <row r="76" spans="1:7" x14ac:dyDescent="0.3">
      <c r="A76" s="1" t="s">
        <v>321</v>
      </c>
      <c r="B76" s="4">
        <v>20149</v>
      </c>
      <c r="C76" s="1">
        <v>75</v>
      </c>
      <c r="D76" s="1">
        <v>267</v>
      </c>
      <c r="G76">
        <f t="shared" si="2"/>
        <v>225.75</v>
      </c>
    </row>
    <row r="77" spans="1:7" x14ac:dyDescent="0.3">
      <c r="A77" s="1" t="s">
        <v>322</v>
      </c>
      <c r="B77" s="4">
        <v>20180</v>
      </c>
      <c r="C77" s="1">
        <v>76</v>
      </c>
      <c r="D77" s="1">
        <v>269</v>
      </c>
      <c r="G77">
        <f t="shared" si="2"/>
        <v>226.75</v>
      </c>
    </row>
    <row r="78" spans="1:7" x14ac:dyDescent="0.3">
      <c r="A78" s="1" t="s">
        <v>323</v>
      </c>
      <c r="B78" s="4">
        <v>20210</v>
      </c>
      <c r="C78" s="1">
        <v>77</v>
      </c>
      <c r="D78" s="1">
        <v>270</v>
      </c>
      <c r="G78">
        <f t="shared" si="2"/>
        <v>242.75</v>
      </c>
    </row>
    <row r="79" spans="1:7" x14ac:dyDescent="0.3">
      <c r="A79" s="1" t="s">
        <v>324</v>
      </c>
      <c r="B79" s="4">
        <v>20241</v>
      </c>
      <c r="C79" s="1">
        <v>78</v>
      </c>
      <c r="D79" s="1">
        <v>315</v>
      </c>
      <c r="G79">
        <f t="shared" si="2"/>
        <v>252.75</v>
      </c>
    </row>
    <row r="80" spans="1:7" x14ac:dyDescent="0.3">
      <c r="A80" s="1" t="s">
        <v>325</v>
      </c>
      <c r="B80" s="4">
        <v>20271</v>
      </c>
      <c r="C80" s="1">
        <v>79</v>
      </c>
      <c r="D80" s="1">
        <v>364</v>
      </c>
      <c r="G80">
        <f t="shared" si="2"/>
        <v>259.75</v>
      </c>
    </row>
    <row r="81" spans="1:7" x14ac:dyDescent="0.3">
      <c r="A81" s="1" t="s">
        <v>326</v>
      </c>
      <c r="B81" s="4">
        <v>20302</v>
      </c>
      <c r="C81" s="1">
        <v>80</v>
      </c>
      <c r="D81" s="1">
        <v>347</v>
      </c>
      <c r="G81">
        <f t="shared" si="2"/>
        <v>280.25</v>
      </c>
    </row>
    <row r="82" spans="1:7" x14ac:dyDescent="0.3">
      <c r="A82" s="1" t="s">
        <v>327</v>
      </c>
      <c r="B82" s="4">
        <v>20333</v>
      </c>
      <c r="C82" s="1">
        <v>81</v>
      </c>
      <c r="D82" s="1">
        <v>312</v>
      </c>
      <c r="G82">
        <f t="shared" si="2"/>
        <v>304.5</v>
      </c>
    </row>
    <row r="83" spans="1:7" x14ac:dyDescent="0.3">
      <c r="A83" s="1" t="s">
        <v>328</v>
      </c>
      <c r="B83" s="4">
        <v>20363</v>
      </c>
      <c r="C83" s="1">
        <v>82</v>
      </c>
      <c r="D83" s="1">
        <v>274</v>
      </c>
      <c r="G83">
        <f t="shared" si="2"/>
        <v>324</v>
      </c>
    </row>
    <row r="84" spans="1:7" x14ac:dyDescent="0.3">
      <c r="A84" s="1" t="s">
        <v>329</v>
      </c>
      <c r="B84" s="4">
        <v>20394</v>
      </c>
      <c r="C84" s="1">
        <v>83</v>
      </c>
      <c r="D84" s="1">
        <v>237</v>
      </c>
      <c r="G84">
        <f t="shared" si="2"/>
        <v>334.5</v>
      </c>
    </row>
    <row r="85" spans="1:7" x14ac:dyDescent="0.3">
      <c r="A85" s="1" t="s">
        <v>330</v>
      </c>
      <c r="B85" s="4">
        <v>20424</v>
      </c>
      <c r="C85" s="1">
        <v>84</v>
      </c>
      <c r="D85" s="1">
        <v>278</v>
      </c>
      <c r="G85">
        <f t="shared" si="2"/>
        <v>324.25</v>
      </c>
    </row>
    <row r="86" spans="1:7" x14ac:dyDescent="0.3">
      <c r="A86" s="1" t="s">
        <v>331</v>
      </c>
      <c r="B86" s="4">
        <v>20455</v>
      </c>
      <c r="C86" s="1">
        <v>85</v>
      </c>
      <c r="D86" s="1">
        <v>284</v>
      </c>
      <c r="G86">
        <f t="shared" si="2"/>
        <v>292.5</v>
      </c>
    </row>
    <row r="87" spans="1:7" x14ac:dyDescent="0.3">
      <c r="A87" s="1" t="s">
        <v>332</v>
      </c>
      <c r="B87" s="4">
        <v>20486</v>
      </c>
      <c r="C87" s="1">
        <v>86</v>
      </c>
      <c r="D87" s="1">
        <v>277</v>
      </c>
      <c r="G87">
        <f t="shared" si="2"/>
        <v>275.25</v>
      </c>
    </row>
    <row r="88" spans="1:7" x14ac:dyDescent="0.3">
      <c r="A88" s="1" t="s">
        <v>333</v>
      </c>
      <c r="B88" s="4">
        <v>20515</v>
      </c>
      <c r="C88" s="1">
        <v>87</v>
      </c>
      <c r="D88" s="1">
        <v>317</v>
      </c>
      <c r="G88">
        <f t="shared" si="2"/>
        <v>268.25</v>
      </c>
    </row>
    <row r="89" spans="1:7" x14ac:dyDescent="0.3">
      <c r="A89" s="1" t="s">
        <v>334</v>
      </c>
      <c r="B89" s="4">
        <v>20546</v>
      </c>
      <c r="C89" s="1">
        <v>88</v>
      </c>
      <c r="D89" s="1">
        <v>313</v>
      </c>
      <c r="G89">
        <f t="shared" si="2"/>
        <v>269</v>
      </c>
    </row>
    <row r="90" spans="1:7" x14ac:dyDescent="0.3">
      <c r="A90" s="1" t="s">
        <v>335</v>
      </c>
      <c r="B90" s="4">
        <v>20576</v>
      </c>
      <c r="C90" s="1">
        <v>89</v>
      </c>
      <c r="D90" s="1">
        <v>318</v>
      </c>
      <c r="G90">
        <f t="shared" si="2"/>
        <v>289</v>
      </c>
    </row>
    <row r="91" spans="1:7" x14ac:dyDescent="0.3">
      <c r="A91" s="1" t="s">
        <v>336</v>
      </c>
      <c r="B91" s="4">
        <v>20607</v>
      </c>
      <c r="C91" s="1">
        <v>90</v>
      </c>
      <c r="D91" s="1">
        <v>374</v>
      </c>
      <c r="G91">
        <f t="shared" si="2"/>
        <v>297.75</v>
      </c>
    </row>
    <row r="92" spans="1:7" x14ac:dyDescent="0.3">
      <c r="A92" s="1" t="s">
        <v>337</v>
      </c>
      <c r="B92" s="4">
        <v>20637</v>
      </c>
      <c r="C92" s="1">
        <v>91</v>
      </c>
      <c r="D92" s="1">
        <v>413</v>
      </c>
      <c r="G92">
        <f t="shared" si="2"/>
        <v>306.25</v>
      </c>
    </row>
    <row r="93" spans="1:7" x14ac:dyDescent="0.3">
      <c r="A93" s="1" t="s">
        <v>338</v>
      </c>
      <c r="B93" s="4">
        <v>20668</v>
      </c>
      <c r="C93" s="1">
        <v>92</v>
      </c>
      <c r="D93" s="1">
        <v>405</v>
      </c>
      <c r="G93">
        <f t="shared" si="2"/>
        <v>330.5</v>
      </c>
    </row>
    <row r="94" spans="1:7" x14ac:dyDescent="0.3">
      <c r="A94" s="1" t="s">
        <v>339</v>
      </c>
      <c r="B94" s="4">
        <v>20699</v>
      </c>
      <c r="C94" s="1">
        <v>93</v>
      </c>
      <c r="D94" s="1">
        <v>355</v>
      </c>
      <c r="G94">
        <f t="shared" si="2"/>
        <v>354.5</v>
      </c>
    </row>
    <row r="95" spans="1:7" x14ac:dyDescent="0.3">
      <c r="A95" s="1" t="s">
        <v>340</v>
      </c>
      <c r="B95" s="4">
        <v>20729</v>
      </c>
      <c r="C95" s="1">
        <v>94</v>
      </c>
      <c r="D95" s="1">
        <v>306</v>
      </c>
      <c r="G95">
        <f t="shared" si="2"/>
        <v>377.5</v>
      </c>
    </row>
    <row r="96" spans="1:7" x14ac:dyDescent="0.3">
      <c r="A96" s="1" t="s">
        <v>341</v>
      </c>
      <c r="B96" s="4">
        <v>20760</v>
      </c>
      <c r="C96" s="1">
        <v>95</v>
      </c>
      <c r="D96" s="1">
        <v>271</v>
      </c>
      <c r="G96">
        <f t="shared" si="2"/>
        <v>386.75</v>
      </c>
    </row>
    <row r="97" spans="1:7" x14ac:dyDescent="0.3">
      <c r="A97" s="1" t="s">
        <v>342</v>
      </c>
      <c r="B97" s="4">
        <v>20790</v>
      </c>
      <c r="C97" s="1">
        <v>96</v>
      </c>
      <c r="D97" s="1">
        <v>306</v>
      </c>
      <c r="G97">
        <f t="shared" si="2"/>
        <v>369.75</v>
      </c>
    </row>
    <row r="98" spans="1:7" x14ac:dyDescent="0.3">
      <c r="A98" s="1" t="s">
        <v>343</v>
      </c>
      <c r="B98" s="4">
        <v>20821</v>
      </c>
      <c r="C98" s="1">
        <v>97</v>
      </c>
      <c r="D98" s="1">
        <v>315</v>
      </c>
      <c r="G98">
        <f t="shared" si="2"/>
        <v>334.25</v>
      </c>
    </row>
    <row r="99" spans="1:7" x14ac:dyDescent="0.3">
      <c r="A99" s="1" t="s">
        <v>344</v>
      </c>
      <c r="B99" s="4">
        <v>20852</v>
      </c>
      <c r="C99" s="1">
        <v>98</v>
      </c>
      <c r="D99" s="1">
        <v>301</v>
      </c>
      <c r="G99">
        <f t="shared" si="2"/>
        <v>309.5</v>
      </c>
    </row>
    <row r="100" spans="1:7" x14ac:dyDescent="0.3">
      <c r="A100" s="1" t="s">
        <v>345</v>
      </c>
      <c r="B100" s="4">
        <v>20880</v>
      </c>
      <c r="C100" s="1">
        <v>99</v>
      </c>
      <c r="D100" s="1">
        <v>356</v>
      </c>
      <c r="G100">
        <f t="shared" si="2"/>
        <v>299.5</v>
      </c>
    </row>
    <row r="101" spans="1:7" x14ac:dyDescent="0.3">
      <c r="A101" s="1" t="s">
        <v>346</v>
      </c>
      <c r="B101" s="4">
        <v>20911</v>
      </c>
      <c r="C101" s="1">
        <v>100</v>
      </c>
      <c r="D101" s="1">
        <v>348</v>
      </c>
      <c r="G101">
        <f t="shared" si="2"/>
        <v>298.25</v>
      </c>
    </row>
    <row r="102" spans="1:7" x14ac:dyDescent="0.3">
      <c r="A102" s="1" t="s">
        <v>347</v>
      </c>
      <c r="B102" s="4">
        <v>20941</v>
      </c>
      <c r="C102" s="1">
        <v>101</v>
      </c>
      <c r="D102" s="1">
        <v>355</v>
      </c>
      <c r="G102">
        <f t="shared" si="2"/>
        <v>319.5</v>
      </c>
    </row>
    <row r="103" spans="1:7" x14ac:dyDescent="0.3">
      <c r="A103" s="1" t="s">
        <v>348</v>
      </c>
      <c r="B103" s="4">
        <v>20972</v>
      </c>
      <c r="C103" s="1">
        <v>102</v>
      </c>
      <c r="D103" s="1">
        <v>422</v>
      </c>
      <c r="G103">
        <f t="shared" ref="G103:G134" si="3">AVERAGE(D98:D101)</f>
        <v>330</v>
      </c>
    </row>
    <row r="104" spans="1:7" x14ac:dyDescent="0.3">
      <c r="A104" s="1" t="s">
        <v>349</v>
      </c>
      <c r="B104" s="4">
        <v>21002</v>
      </c>
      <c r="C104" s="1">
        <v>103</v>
      </c>
      <c r="D104" s="1">
        <v>465</v>
      </c>
      <c r="G104">
        <f t="shared" si="3"/>
        <v>340</v>
      </c>
    </row>
    <row r="105" spans="1:7" x14ac:dyDescent="0.3">
      <c r="A105" s="1" t="s">
        <v>350</v>
      </c>
      <c r="B105" s="4">
        <v>21033</v>
      </c>
      <c r="C105" s="1">
        <v>104</v>
      </c>
      <c r="D105" s="1">
        <v>467</v>
      </c>
      <c r="G105">
        <f t="shared" si="3"/>
        <v>370.25</v>
      </c>
    </row>
    <row r="106" spans="1:7" x14ac:dyDescent="0.3">
      <c r="A106" s="1" t="s">
        <v>351</v>
      </c>
      <c r="B106" s="4">
        <v>21064</v>
      </c>
      <c r="C106" s="1">
        <v>105</v>
      </c>
      <c r="D106" s="1">
        <v>404</v>
      </c>
      <c r="G106">
        <f t="shared" si="3"/>
        <v>397.5</v>
      </c>
    </row>
    <row r="107" spans="1:7" x14ac:dyDescent="0.3">
      <c r="A107" s="1" t="s">
        <v>352</v>
      </c>
      <c r="B107" s="4">
        <v>21094</v>
      </c>
      <c r="C107" s="1">
        <v>106</v>
      </c>
      <c r="D107" s="1">
        <v>347</v>
      </c>
      <c r="G107">
        <f t="shared" si="3"/>
        <v>427.25</v>
      </c>
    </row>
    <row r="108" spans="1:7" x14ac:dyDescent="0.3">
      <c r="A108" s="1" t="s">
        <v>353</v>
      </c>
      <c r="B108" s="4">
        <v>21125</v>
      </c>
      <c r="C108" s="1">
        <v>107</v>
      </c>
      <c r="D108" s="1">
        <v>305</v>
      </c>
      <c r="G108">
        <f t="shared" si="3"/>
        <v>439.5</v>
      </c>
    </row>
    <row r="109" spans="1:7" x14ac:dyDescent="0.3">
      <c r="A109" s="1" t="s">
        <v>354</v>
      </c>
      <c r="B109" s="4">
        <v>21155</v>
      </c>
      <c r="C109" s="1">
        <v>108</v>
      </c>
      <c r="D109" s="1">
        <v>336</v>
      </c>
      <c r="G109">
        <f t="shared" si="3"/>
        <v>420.75</v>
      </c>
    </row>
    <row r="110" spans="1:7" x14ac:dyDescent="0.3">
      <c r="A110" s="1" t="s">
        <v>355</v>
      </c>
      <c r="B110" s="4">
        <v>21186</v>
      </c>
      <c r="C110" s="1">
        <v>109</v>
      </c>
      <c r="D110" s="1">
        <v>340</v>
      </c>
      <c r="G110">
        <f t="shared" si="3"/>
        <v>380.75</v>
      </c>
    </row>
    <row r="111" spans="1:7" x14ac:dyDescent="0.3">
      <c r="A111" s="1" t="s">
        <v>356</v>
      </c>
      <c r="B111" s="4">
        <v>21217</v>
      </c>
      <c r="C111" s="1">
        <v>110</v>
      </c>
      <c r="D111" s="1">
        <v>318</v>
      </c>
      <c r="G111">
        <f t="shared" si="3"/>
        <v>348</v>
      </c>
    </row>
    <row r="112" spans="1:7" x14ac:dyDescent="0.3">
      <c r="A112" s="1" t="s">
        <v>357</v>
      </c>
      <c r="B112" s="4">
        <v>21245</v>
      </c>
      <c r="C112" s="1">
        <v>111</v>
      </c>
      <c r="D112" s="1">
        <v>362</v>
      </c>
      <c r="G112">
        <f t="shared" si="3"/>
        <v>332</v>
      </c>
    </row>
    <row r="113" spans="1:7" x14ac:dyDescent="0.3">
      <c r="A113" s="1" t="s">
        <v>358</v>
      </c>
      <c r="B113" s="4">
        <v>21276</v>
      </c>
      <c r="C113" s="1">
        <v>112</v>
      </c>
      <c r="D113" s="1">
        <v>348</v>
      </c>
      <c r="G113">
        <f t="shared" si="3"/>
        <v>324.75</v>
      </c>
    </row>
    <row r="114" spans="1:7" x14ac:dyDescent="0.3">
      <c r="A114" s="1" t="s">
        <v>359</v>
      </c>
      <c r="B114" s="4">
        <v>21306</v>
      </c>
      <c r="C114" s="1">
        <v>113</v>
      </c>
      <c r="D114" s="1">
        <v>363</v>
      </c>
      <c r="G114">
        <f t="shared" si="3"/>
        <v>339</v>
      </c>
    </row>
    <row r="115" spans="1:7" x14ac:dyDescent="0.3">
      <c r="A115" s="1" t="s">
        <v>360</v>
      </c>
      <c r="B115" s="4">
        <v>21337</v>
      </c>
      <c r="C115" s="1">
        <v>114</v>
      </c>
      <c r="D115" s="1">
        <v>435</v>
      </c>
      <c r="G115">
        <f t="shared" si="3"/>
        <v>342</v>
      </c>
    </row>
    <row r="116" spans="1:7" x14ac:dyDescent="0.3">
      <c r="A116" s="1" t="s">
        <v>361</v>
      </c>
      <c r="B116" s="4">
        <v>21367</v>
      </c>
      <c r="C116" s="1">
        <v>115</v>
      </c>
      <c r="D116" s="1">
        <v>491</v>
      </c>
      <c r="G116">
        <f t="shared" si="3"/>
        <v>347.75</v>
      </c>
    </row>
    <row r="117" spans="1:7" x14ac:dyDescent="0.3">
      <c r="A117" s="1" t="s">
        <v>362</v>
      </c>
      <c r="B117" s="4">
        <v>21398</v>
      </c>
      <c r="C117" s="1">
        <v>116</v>
      </c>
      <c r="D117" s="1">
        <v>505</v>
      </c>
      <c r="G117">
        <f t="shared" si="3"/>
        <v>377</v>
      </c>
    </row>
    <row r="118" spans="1:7" x14ac:dyDescent="0.3">
      <c r="A118" s="1" t="s">
        <v>363</v>
      </c>
      <c r="B118" s="4">
        <v>21429</v>
      </c>
      <c r="C118" s="1">
        <v>117</v>
      </c>
      <c r="D118" s="1">
        <v>404</v>
      </c>
      <c r="G118">
        <f t="shared" si="3"/>
        <v>409.25</v>
      </c>
    </row>
    <row r="119" spans="1:7" x14ac:dyDescent="0.3">
      <c r="A119" s="1" t="s">
        <v>364</v>
      </c>
      <c r="B119" s="4">
        <v>21459</v>
      </c>
      <c r="C119" s="1">
        <v>118</v>
      </c>
      <c r="D119" s="1">
        <v>359</v>
      </c>
      <c r="G119">
        <f t="shared" si="3"/>
        <v>448.5</v>
      </c>
    </row>
    <row r="120" spans="1:7" x14ac:dyDescent="0.3">
      <c r="A120" s="1" t="s">
        <v>365</v>
      </c>
      <c r="B120" s="4">
        <v>21490</v>
      </c>
      <c r="C120" s="1">
        <v>119</v>
      </c>
      <c r="D120" s="1">
        <v>310</v>
      </c>
      <c r="G120">
        <f t="shared" si="3"/>
        <v>458.75</v>
      </c>
    </row>
    <row r="121" spans="1:7" x14ac:dyDescent="0.3">
      <c r="A121" s="1" t="s">
        <v>366</v>
      </c>
      <c r="B121" s="4">
        <v>21520</v>
      </c>
      <c r="C121" s="1">
        <v>120</v>
      </c>
      <c r="D121" s="1">
        <v>337</v>
      </c>
      <c r="G121">
        <f t="shared" si="3"/>
        <v>439.75</v>
      </c>
    </row>
    <row r="122" spans="1:7" x14ac:dyDescent="0.3">
      <c r="A122" s="1" t="s">
        <v>367</v>
      </c>
      <c r="B122" s="4">
        <v>21551</v>
      </c>
      <c r="C122" s="1">
        <v>121</v>
      </c>
      <c r="D122" s="1">
        <v>360</v>
      </c>
      <c r="G122">
        <f t="shared" si="3"/>
        <v>394.5</v>
      </c>
    </row>
    <row r="123" spans="1:7" x14ac:dyDescent="0.3">
      <c r="A123" s="1" t="s">
        <v>368</v>
      </c>
      <c r="B123" s="4">
        <v>21582</v>
      </c>
      <c r="C123" s="1">
        <v>122</v>
      </c>
      <c r="D123" s="1">
        <v>342</v>
      </c>
      <c r="G123">
        <f t="shared" si="3"/>
        <v>352.5</v>
      </c>
    </row>
    <row r="124" spans="1:7" x14ac:dyDescent="0.3">
      <c r="A124" s="1" t="s">
        <v>369</v>
      </c>
      <c r="B124" s="4">
        <v>21610</v>
      </c>
      <c r="C124" s="1">
        <v>123</v>
      </c>
      <c r="D124" s="1">
        <v>406</v>
      </c>
      <c r="G124">
        <f t="shared" si="3"/>
        <v>341.5</v>
      </c>
    </row>
    <row r="125" spans="1:7" x14ac:dyDescent="0.3">
      <c r="A125" s="1" t="s">
        <v>370</v>
      </c>
      <c r="B125" s="4">
        <v>21641</v>
      </c>
      <c r="C125" s="1">
        <v>124</v>
      </c>
      <c r="D125" s="1">
        <v>396</v>
      </c>
      <c r="G125">
        <f t="shared" si="3"/>
        <v>337.25</v>
      </c>
    </row>
    <row r="126" spans="1:7" x14ac:dyDescent="0.3">
      <c r="A126" s="1" t="s">
        <v>371</v>
      </c>
      <c r="B126" s="4">
        <v>21671</v>
      </c>
      <c r="C126" s="1">
        <v>125</v>
      </c>
      <c r="D126" s="1">
        <v>420</v>
      </c>
      <c r="G126">
        <f t="shared" si="3"/>
        <v>361.25</v>
      </c>
    </row>
    <row r="127" spans="1:7" x14ac:dyDescent="0.3">
      <c r="A127" s="1" t="s">
        <v>372</v>
      </c>
      <c r="B127" s="4">
        <v>21702</v>
      </c>
      <c r="C127" s="1">
        <v>126</v>
      </c>
      <c r="D127" s="1">
        <v>472</v>
      </c>
      <c r="G127">
        <f t="shared" si="3"/>
        <v>376</v>
      </c>
    </row>
    <row r="128" spans="1:7" x14ac:dyDescent="0.3">
      <c r="A128" s="1" t="s">
        <v>373</v>
      </c>
      <c r="B128" s="4">
        <v>21732</v>
      </c>
      <c r="C128" s="1">
        <v>127</v>
      </c>
      <c r="D128" s="1">
        <v>548</v>
      </c>
      <c r="G128">
        <f t="shared" si="3"/>
        <v>391</v>
      </c>
    </row>
    <row r="129" spans="1:7" x14ac:dyDescent="0.3">
      <c r="A129" s="1" t="s">
        <v>374</v>
      </c>
      <c r="B129" s="4">
        <v>21763</v>
      </c>
      <c r="C129" s="1">
        <v>128</v>
      </c>
      <c r="D129" s="1">
        <v>559</v>
      </c>
      <c r="G129">
        <f t="shared" si="3"/>
        <v>423.5</v>
      </c>
    </row>
    <row r="130" spans="1:7" x14ac:dyDescent="0.3">
      <c r="A130" s="1" t="s">
        <v>375</v>
      </c>
      <c r="B130" s="4">
        <v>21794</v>
      </c>
      <c r="C130" s="1">
        <v>129</v>
      </c>
      <c r="D130" s="1">
        <v>463</v>
      </c>
      <c r="G130">
        <f t="shared" si="3"/>
        <v>459</v>
      </c>
    </row>
    <row r="131" spans="1:7" x14ac:dyDescent="0.3">
      <c r="A131" s="1" t="s">
        <v>376</v>
      </c>
      <c r="B131" s="4">
        <v>21824</v>
      </c>
      <c r="C131" s="1">
        <v>130</v>
      </c>
      <c r="D131" s="1">
        <v>407</v>
      </c>
      <c r="G131">
        <f t="shared" si="3"/>
        <v>499.75</v>
      </c>
    </row>
    <row r="132" spans="1:7" x14ac:dyDescent="0.3">
      <c r="A132" s="1" t="s">
        <v>377</v>
      </c>
      <c r="B132" s="4">
        <v>21855</v>
      </c>
      <c r="C132" s="1">
        <v>131</v>
      </c>
      <c r="D132" s="1">
        <v>362</v>
      </c>
      <c r="G132">
        <f t="shared" si="3"/>
        <v>510.5</v>
      </c>
    </row>
    <row r="133" spans="1:7" x14ac:dyDescent="0.3">
      <c r="A133" s="1" t="s">
        <v>378</v>
      </c>
      <c r="B133" s="4">
        <v>21885</v>
      </c>
      <c r="C133" s="1">
        <v>132</v>
      </c>
      <c r="D133" s="1">
        <v>405</v>
      </c>
      <c r="G133">
        <f t="shared" si="3"/>
        <v>494.25</v>
      </c>
    </row>
    <row r="134" spans="1:7" x14ac:dyDescent="0.3">
      <c r="A134" s="1" t="s">
        <v>379</v>
      </c>
      <c r="B134" s="4">
        <v>21916</v>
      </c>
      <c r="C134" s="1">
        <v>133</v>
      </c>
      <c r="D134" s="1">
        <v>417</v>
      </c>
      <c r="G134">
        <f t="shared" si="3"/>
        <v>447.75</v>
      </c>
    </row>
    <row r="135" spans="1:7" x14ac:dyDescent="0.3">
      <c r="A135" s="1" t="s">
        <v>380</v>
      </c>
      <c r="B135" s="4">
        <v>21947</v>
      </c>
      <c r="C135" s="1">
        <v>134</v>
      </c>
      <c r="D135" s="1">
        <v>391</v>
      </c>
      <c r="G135">
        <f t="shared" ref="G135:G166" si="4">AVERAGE(D130:D133)</f>
        <v>409.25</v>
      </c>
    </row>
    <row r="136" spans="1:7" x14ac:dyDescent="0.3">
      <c r="A136" s="1" t="s">
        <v>381</v>
      </c>
      <c r="B136" s="4">
        <v>21976</v>
      </c>
      <c r="C136" s="1">
        <v>135</v>
      </c>
      <c r="D136" s="1">
        <v>419</v>
      </c>
      <c r="G136">
        <f t="shared" si="4"/>
        <v>397.75</v>
      </c>
    </row>
    <row r="137" spans="1:7" x14ac:dyDescent="0.3">
      <c r="A137" s="1" t="s">
        <v>382</v>
      </c>
      <c r="B137" s="4">
        <v>22007</v>
      </c>
      <c r="C137" s="1">
        <v>136</v>
      </c>
      <c r="D137" s="1">
        <v>461</v>
      </c>
      <c r="G137">
        <f t="shared" si="4"/>
        <v>393.75</v>
      </c>
    </row>
    <row r="138" spans="1:7" x14ac:dyDescent="0.3">
      <c r="A138" s="1" t="s">
        <v>383</v>
      </c>
      <c r="B138" s="4">
        <v>22037</v>
      </c>
      <c r="C138" s="1">
        <v>137</v>
      </c>
      <c r="D138" s="1">
        <v>472</v>
      </c>
      <c r="G138">
        <f t="shared" si="4"/>
        <v>408</v>
      </c>
    </row>
    <row r="139" spans="1:7" x14ac:dyDescent="0.3">
      <c r="A139" s="1" t="s">
        <v>384</v>
      </c>
      <c r="B139" s="4">
        <v>22068</v>
      </c>
      <c r="C139" s="1">
        <v>138</v>
      </c>
      <c r="D139" s="1">
        <v>535</v>
      </c>
      <c r="G139">
        <f t="shared" si="4"/>
        <v>422</v>
      </c>
    </row>
    <row r="140" spans="1:7" x14ac:dyDescent="0.3">
      <c r="A140" s="1" t="s">
        <v>385</v>
      </c>
      <c r="B140" s="4">
        <v>22098</v>
      </c>
      <c r="C140" s="1">
        <v>139</v>
      </c>
      <c r="D140" s="1">
        <v>622</v>
      </c>
      <c r="G140">
        <f t="shared" si="4"/>
        <v>435.75</v>
      </c>
    </row>
    <row r="141" spans="1:7" x14ac:dyDescent="0.3">
      <c r="A141" s="1" t="s">
        <v>386</v>
      </c>
      <c r="B141" s="4">
        <v>22129</v>
      </c>
      <c r="C141" s="1">
        <v>140</v>
      </c>
      <c r="D141" s="1">
        <v>606</v>
      </c>
      <c r="G141">
        <f t="shared" si="4"/>
        <v>471.75</v>
      </c>
    </row>
    <row r="142" spans="1:7" x14ac:dyDescent="0.3">
      <c r="A142" s="1" t="s">
        <v>387</v>
      </c>
      <c r="B142" s="4">
        <v>22160</v>
      </c>
      <c r="C142" s="1">
        <v>141</v>
      </c>
      <c r="D142" s="1">
        <v>508</v>
      </c>
      <c r="G142">
        <f t="shared" si="4"/>
        <v>522.5</v>
      </c>
    </row>
    <row r="143" spans="1:7" x14ac:dyDescent="0.3">
      <c r="A143" s="1" t="s">
        <v>388</v>
      </c>
      <c r="B143" s="4">
        <v>22190</v>
      </c>
      <c r="C143" s="1">
        <v>142</v>
      </c>
      <c r="D143" s="1">
        <v>461</v>
      </c>
      <c r="G143">
        <f t="shared" si="4"/>
        <v>558.75</v>
      </c>
    </row>
    <row r="144" spans="1:7" x14ac:dyDescent="0.3">
      <c r="A144" s="1" t="s">
        <v>389</v>
      </c>
      <c r="B144" s="4">
        <v>22221</v>
      </c>
      <c r="C144" s="1">
        <v>143</v>
      </c>
      <c r="D144" s="1">
        <v>390</v>
      </c>
      <c r="G144">
        <f t="shared" si="4"/>
        <v>567.75</v>
      </c>
    </row>
    <row r="145" spans="1:7" x14ac:dyDescent="0.3">
      <c r="A145" s="1" t="s">
        <v>390</v>
      </c>
      <c r="B145" s="4">
        <v>22251</v>
      </c>
      <c r="C145" s="1">
        <v>144</v>
      </c>
      <c r="D145" s="1">
        <v>432</v>
      </c>
      <c r="G145">
        <f t="shared" si="4"/>
        <v>549.25</v>
      </c>
    </row>
    <row r="146" spans="1:7" x14ac:dyDescent="0.3">
      <c r="G146">
        <f t="shared" si="4"/>
        <v>491.25</v>
      </c>
    </row>
    <row r="147" spans="1:7" x14ac:dyDescent="0.3">
      <c r="G147">
        <f t="shared" si="4"/>
        <v>447.75</v>
      </c>
    </row>
  </sheetData>
  <mergeCells count="2">
    <mergeCell ref="M1:Q4"/>
    <mergeCell ref="I1:L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S69"/>
  <sheetViews>
    <sheetView tabSelected="1" zoomScaleNormal="100" workbookViewId="0">
      <selection activeCell="G6" sqref="G6"/>
    </sheetView>
  </sheetViews>
  <sheetFormatPr defaultColWidth="8" defaultRowHeight="15.6" x14ac:dyDescent="0.3"/>
  <cols>
    <col min="1" max="1" width="8" style="5"/>
    <col min="2" max="2" width="18.109375" style="5" customWidth="1"/>
    <col min="3" max="3" width="17.88671875" style="1" bestFit="1" customWidth="1"/>
    <col min="4" max="4" width="26.5546875" style="1" bestFit="1" customWidth="1"/>
    <col min="5" max="6" width="8" style="1"/>
    <col min="7" max="7" width="22.33203125" style="1" customWidth="1"/>
    <col min="8" max="8" width="12.109375" style="1" customWidth="1"/>
    <col min="9" max="16384" width="8" style="1"/>
  </cols>
  <sheetData>
    <row r="1" spans="1:19" x14ac:dyDescent="0.3">
      <c r="A1" s="7" t="s">
        <v>0</v>
      </c>
      <c r="B1" s="7" t="s">
        <v>1</v>
      </c>
      <c r="C1" s="1" t="s">
        <v>2</v>
      </c>
      <c r="D1" s="1" t="s">
        <v>391</v>
      </c>
      <c r="E1"/>
      <c r="F1"/>
      <c r="G1" s="8" t="s">
        <v>4</v>
      </c>
      <c r="H1"/>
      <c r="I1" s="9"/>
      <c r="J1" s="9"/>
      <c r="K1" s="9"/>
      <c r="L1" s="9"/>
      <c r="M1" s="9"/>
      <c r="N1" s="10"/>
      <c r="O1" s="10"/>
      <c r="P1" s="10"/>
      <c r="Q1" s="10"/>
      <c r="R1" s="10"/>
      <c r="S1" s="10"/>
    </row>
    <row r="2" spans="1:19" x14ac:dyDescent="0.3">
      <c r="A2" s="5">
        <v>1995</v>
      </c>
      <c r="B2" s="4">
        <v>34973</v>
      </c>
      <c r="C2" s="1">
        <v>1</v>
      </c>
      <c r="D2" s="1">
        <v>0.51100000000000001</v>
      </c>
      <c r="E2"/>
      <c r="F2" s="2"/>
      <c r="G2" s="2"/>
      <c r="H2" s="2"/>
      <c r="I2" s="9"/>
      <c r="J2" s="9"/>
      <c r="K2" s="9"/>
      <c r="L2" s="9"/>
      <c r="M2" s="9"/>
      <c r="N2" s="10"/>
      <c r="O2" s="10"/>
      <c r="P2" s="10"/>
      <c r="Q2" s="10"/>
      <c r="R2" s="10"/>
      <c r="S2" s="10"/>
    </row>
    <row r="3" spans="1:19" x14ac:dyDescent="0.3">
      <c r="A3" s="5">
        <v>1996</v>
      </c>
      <c r="B3" s="4">
        <v>35065</v>
      </c>
      <c r="C3" s="1">
        <v>2</v>
      </c>
      <c r="D3" s="1">
        <v>0.875</v>
      </c>
      <c r="E3"/>
      <c r="F3"/>
      <c r="G3" s="2"/>
      <c r="H3" s="2"/>
      <c r="I3" s="9"/>
      <c r="J3" s="9"/>
      <c r="K3" s="9"/>
      <c r="L3" s="9"/>
      <c r="M3" s="9"/>
      <c r="N3" s="10"/>
      <c r="O3" s="10"/>
      <c r="P3" s="10"/>
      <c r="Q3" s="10"/>
      <c r="R3" s="10"/>
      <c r="S3" s="10"/>
    </row>
    <row r="4" spans="1:19" x14ac:dyDescent="0.3">
      <c r="A4" s="5">
        <v>1996</v>
      </c>
      <c r="B4" s="4">
        <v>35156</v>
      </c>
      <c r="C4" s="1">
        <v>3</v>
      </c>
      <c r="D4" s="1">
        <v>2.23</v>
      </c>
      <c r="E4"/>
      <c r="F4"/>
      <c r="G4" s="2"/>
      <c r="H4" s="2"/>
      <c r="I4" s="9"/>
      <c r="J4" s="9"/>
      <c r="K4" s="9"/>
      <c r="L4" s="9"/>
      <c r="M4" s="9"/>
      <c r="N4" s="10"/>
      <c r="O4" s="10"/>
      <c r="P4" s="10"/>
      <c r="Q4" s="10"/>
      <c r="R4" s="10"/>
      <c r="S4" s="10"/>
    </row>
    <row r="5" spans="1:19" ht="15.6" customHeight="1" x14ac:dyDescent="0.3">
      <c r="A5" s="5">
        <v>1996</v>
      </c>
      <c r="B5" s="4">
        <v>35247</v>
      </c>
      <c r="C5" s="1">
        <v>4</v>
      </c>
      <c r="D5" s="1">
        <v>4.173</v>
      </c>
      <c r="I5" s="9"/>
      <c r="J5" s="9"/>
      <c r="K5" s="9"/>
      <c r="L5" s="9"/>
      <c r="M5" s="9"/>
      <c r="N5" s="10"/>
      <c r="O5" s="10"/>
      <c r="P5" s="10"/>
      <c r="Q5" s="10"/>
      <c r="R5" s="10"/>
      <c r="S5" s="10"/>
    </row>
    <row r="6" spans="1:19" x14ac:dyDescent="0.3">
      <c r="A6" s="5">
        <v>1996</v>
      </c>
      <c r="B6" s="4">
        <v>35339</v>
      </c>
      <c r="C6" s="1">
        <v>5</v>
      </c>
      <c r="D6" s="1">
        <v>8.468</v>
      </c>
      <c r="G6" s="13">
        <f>+AVERAGE(D3:D6)</f>
        <v>3.9365000000000001</v>
      </c>
    </row>
    <row r="7" spans="1:19" x14ac:dyDescent="0.3">
      <c r="A7" s="5">
        <v>1997</v>
      </c>
      <c r="B7" s="4">
        <v>35431</v>
      </c>
      <c r="C7" s="1">
        <v>6</v>
      </c>
      <c r="D7" s="1">
        <v>16.004999999999999</v>
      </c>
      <c r="G7" s="13">
        <f t="shared" ref="G7:G69" si="0">+AVERAGE(D4:D7)</f>
        <v>7.7189999999999994</v>
      </c>
    </row>
    <row r="8" spans="1:19" x14ac:dyDescent="0.3">
      <c r="A8" s="5">
        <v>1997</v>
      </c>
      <c r="B8" s="4">
        <v>35521</v>
      </c>
      <c r="C8" s="1">
        <v>7</v>
      </c>
      <c r="D8" s="1">
        <v>27.855</v>
      </c>
      <c r="G8" s="13">
        <f t="shared" si="0"/>
        <v>14.125250000000001</v>
      </c>
    </row>
    <row r="9" spans="1:19" x14ac:dyDescent="0.3">
      <c r="A9" s="5">
        <v>1997</v>
      </c>
      <c r="B9" s="4">
        <v>35612</v>
      </c>
      <c r="C9" s="1">
        <v>8</v>
      </c>
      <c r="D9" s="1">
        <v>37.887</v>
      </c>
      <c r="G9" s="13">
        <f t="shared" si="0"/>
        <v>22.553750000000001</v>
      </c>
    </row>
    <row r="10" spans="1:19" x14ac:dyDescent="0.3">
      <c r="A10" s="5">
        <v>1997</v>
      </c>
      <c r="B10" s="4">
        <v>35704</v>
      </c>
      <c r="C10" s="1">
        <v>9</v>
      </c>
      <c r="D10" s="1">
        <v>66.040000000000006</v>
      </c>
      <c r="G10" s="13">
        <f t="shared" si="0"/>
        <v>36.946750000000002</v>
      </c>
    </row>
    <row r="11" spans="1:19" x14ac:dyDescent="0.3">
      <c r="A11" s="5">
        <v>1998</v>
      </c>
      <c r="B11" s="4">
        <v>35796</v>
      </c>
      <c r="C11" s="1">
        <v>10</v>
      </c>
      <c r="D11" s="1">
        <v>87.361000000000004</v>
      </c>
      <c r="G11" s="13">
        <f t="shared" si="0"/>
        <v>54.785750000000007</v>
      </c>
    </row>
    <row r="12" spans="1:19" x14ac:dyDescent="0.3">
      <c r="A12" s="5">
        <v>1998</v>
      </c>
      <c r="B12" s="4">
        <v>35886</v>
      </c>
      <c r="C12" s="1">
        <v>11</v>
      </c>
      <c r="D12" s="1">
        <v>115.982</v>
      </c>
      <c r="G12" s="13">
        <f t="shared" si="0"/>
        <v>76.817499999999995</v>
      </c>
    </row>
    <row r="13" spans="1:19" x14ac:dyDescent="0.3">
      <c r="A13" s="5">
        <v>1998</v>
      </c>
      <c r="B13" s="4">
        <v>35977</v>
      </c>
      <c r="C13" s="1">
        <v>12</v>
      </c>
      <c r="D13" s="1">
        <v>153.649</v>
      </c>
      <c r="G13" s="13">
        <f t="shared" si="0"/>
        <v>105.75800000000001</v>
      </c>
    </row>
    <row r="14" spans="1:19" x14ac:dyDescent="0.3">
      <c r="A14" s="5">
        <v>1998</v>
      </c>
      <c r="B14" s="4">
        <v>36069</v>
      </c>
      <c r="C14" s="1">
        <v>13</v>
      </c>
      <c r="D14" s="1">
        <v>252.893</v>
      </c>
      <c r="G14" s="13">
        <f t="shared" si="0"/>
        <v>152.47125</v>
      </c>
    </row>
    <row r="15" spans="1:19" x14ac:dyDescent="0.3">
      <c r="A15" s="5">
        <v>1999</v>
      </c>
      <c r="B15" s="4">
        <v>36161</v>
      </c>
      <c r="C15" s="1">
        <v>14</v>
      </c>
      <c r="D15" s="1">
        <v>293.64299999999997</v>
      </c>
      <c r="G15" s="13">
        <f t="shared" si="0"/>
        <v>204.04174999999998</v>
      </c>
    </row>
    <row r="16" spans="1:19" x14ac:dyDescent="0.3">
      <c r="A16" s="5">
        <v>1999</v>
      </c>
      <c r="B16" s="4">
        <v>36251</v>
      </c>
      <c r="C16" s="1">
        <v>15</v>
      </c>
      <c r="D16" s="1">
        <v>314.37599999999998</v>
      </c>
      <c r="G16" s="13">
        <f t="shared" si="0"/>
        <v>253.64024999999998</v>
      </c>
    </row>
    <row r="17" spans="1:7" x14ac:dyDescent="0.3">
      <c r="A17" s="5">
        <v>1999</v>
      </c>
      <c r="B17" s="4">
        <v>36342</v>
      </c>
      <c r="C17" s="1">
        <v>16</v>
      </c>
      <c r="D17" s="1">
        <v>355.77800000000002</v>
      </c>
      <c r="G17" s="13">
        <f t="shared" si="0"/>
        <v>304.17250000000001</v>
      </c>
    </row>
    <row r="18" spans="1:7" x14ac:dyDescent="0.3">
      <c r="A18" s="5">
        <v>1999</v>
      </c>
      <c r="B18" s="4">
        <v>36434</v>
      </c>
      <c r="C18" s="1">
        <v>17</v>
      </c>
      <c r="D18" s="1">
        <v>676.04200000000003</v>
      </c>
      <c r="G18" s="13">
        <f t="shared" si="0"/>
        <v>409.95974999999999</v>
      </c>
    </row>
    <row r="19" spans="1:7" x14ac:dyDescent="0.3">
      <c r="A19" s="5">
        <v>2000</v>
      </c>
      <c r="B19" s="4">
        <v>36526</v>
      </c>
      <c r="C19" s="1">
        <v>18</v>
      </c>
      <c r="D19" s="1">
        <v>573.88900000000001</v>
      </c>
      <c r="G19" s="13">
        <f t="shared" si="0"/>
        <v>480.02125000000001</v>
      </c>
    </row>
    <row r="20" spans="1:7" x14ac:dyDescent="0.3">
      <c r="A20" s="5">
        <v>2000</v>
      </c>
      <c r="B20" s="4">
        <v>36617</v>
      </c>
      <c r="C20" s="1">
        <v>19</v>
      </c>
      <c r="D20" s="1">
        <v>577.87599999999998</v>
      </c>
      <c r="G20" s="13">
        <f t="shared" si="0"/>
        <v>545.89625000000001</v>
      </c>
    </row>
    <row r="21" spans="1:7" x14ac:dyDescent="0.3">
      <c r="A21" s="5">
        <v>2000</v>
      </c>
      <c r="B21" s="4">
        <v>36708</v>
      </c>
      <c r="C21" s="1">
        <v>20</v>
      </c>
      <c r="D21" s="1">
        <v>637.85799999999995</v>
      </c>
      <c r="G21" s="13">
        <f t="shared" si="0"/>
        <v>616.41624999999999</v>
      </c>
    </row>
    <row r="22" spans="1:7" x14ac:dyDescent="0.3">
      <c r="A22" s="5">
        <v>2000</v>
      </c>
      <c r="B22" s="4">
        <v>36800</v>
      </c>
      <c r="C22" s="1">
        <v>21</v>
      </c>
      <c r="D22" s="1">
        <v>972.36</v>
      </c>
      <c r="G22" s="13">
        <f t="shared" si="0"/>
        <v>690.49574999999993</v>
      </c>
    </row>
    <row r="23" spans="1:7" x14ac:dyDescent="0.3">
      <c r="A23" s="5">
        <v>2001</v>
      </c>
      <c r="B23" s="4">
        <v>36892</v>
      </c>
      <c r="C23" s="1">
        <v>22</v>
      </c>
      <c r="D23" s="1">
        <v>700.35599999999999</v>
      </c>
      <c r="G23" s="13">
        <f t="shared" si="0"/>
        <v>722.11249999999995</v>
      </c>
    </row>
    <row r="24" spans="1:7" x14ac:dyDescent="0.3">
      <c r="A24" s="5">
        <v>2001</v>
      </c>
      <c r="B24" s="4">
        <v>36982</v>
      </c>
      <c r="C24" s="1">
        <v>23</v>
      </c>
      <c r="D24" s="1">
        <v>667.625</v>
      </c>
      <c r="G24" s="13">
        <f t="shared" si="0"/>
        <v>744.5497499999999</v>
      </c>
    </row>
    <row r="25" spans="1:7" x14ac:dyDescent="0.3">
      <c r="A25" s="5">
        <v>2001</v>
      </c>
      <c r="B25" s="4">
        <v>37073</v>
      </c>
      <c r="C25" s="1">
        <v>24</v>
      </c>
      <c r="D25" s="1">
        <v>639.28099999999995</v>
      </c>
      <c r="G25" s="13">
        <f t="shared" si="0"/>
        <v>744.90549999999996</v>
      </c>
    </row>
    <row r="26" spans="1:7" x14ac:dyDescent="0.3">
      <c r="A26" s="5">
        <v>2001</v>
      </c>
      <c r="B26" s="4">
        <v>37165</v>
      </c>
      <c r="C26" s="1">
        <v>25</v>
      </c>
      <c r="D26" s="1">
        <v>1115.171</v>
      </c>
      <c r="G26" s="13">
        <f t="shared" si="0"/>
        <v>780.60825</v>
      </c>
    </row>
    <row r="27" spans="1:7" x14ac:dyDescent="0.3">
      <c r="A27" s="5">
        <v>2002</v>
      </c>
      <c r="B27" s="4">
        <v>37257</v>
      </c>
      <c r="C27" s="1">
        <v>26</v>
      </c>
      <c r="D27" s="1">
        <v>847.42200000000003</v>
      </c>
      <c r="G27" s="13">
        <f t="shared" si="0"/>
        <v>817.37475000000006</v>
      </c>
    </row>
    <row r="28" spans="1:7" x14ac:dyDescent="0.3">
      <c r="A28" s="5">
        <v>2002</v>
      </c>
      <c r="B28" s="4">
        <v>37347</v>
      </c>
      <c r="C28" s="1">
        <v>27</v>
      </c>
      <c r="D28" s="1">
        <v>805.60500000000002</v>
      </c>
      <c r="G28" s="13">
        <f t="shared" si="0"/>
        <v>851.86974999999995</v>
      </c>
    </row>
    <row r="29" spans="1:7" x14ac:dyDescent="0.3">
      <c r="A29" s="5">
        <v>2002</v>
      </c>
      <c r="B29" s="4">
        <v>37438</v>
      </c>
      <c r="C29" s="1">
        <v>28</v>
      </c>
      <c r="D29" s="1">
        <v>851.29899999999998</v>
      </c>
      <c r="G29" s="13">
        <f t="shared" si="0"/>
        <v>904.87425000000007</v>
      </c>
    </row>
    <row r="30" spans="1:7" x14ac:dyDescent="0.3">
      <c r="A30" s="5">
        <v>2002</v>
      </c>
      <c r="B30" s="4">
        <v>37530</v>
      </c>
      <c r="C30" s="1">
        <v>29</v>
      </c>
      <c r="D30" s="1">
        <v>1428.61</v>
      </c>
      <c r="G30" s="13">
        <f t="shared" si="0"/>
        <v>983.23399999999992</v>
      </c>
    </row>
    <row r="31" spans="1:7" x14ac:dyDescent="0.3">
      <c r="A31" s="5">
        <v>2003</v>
      </c>
      <c r="B31" s="4">
        <v>37622</v>
      </c>
      <c r="C31" s="1">
        <v>30</v>
      </c>
      <c r="D31" s="1">
        <v>1083.559</v>
      </c>
      <c r="G31" s="13">
        <f t="shared" si="0"/>
        <v>1042.2682500000001</v>
      </c>
    </row>
    <row r="32" spans="1:7" x14ac:dyDescent="0.3">
      <c r="A32" s="5">
        <v>2003</v>
      </c>
      <c r="B32" s="4">
        <v>37712</v>
      </c>
      <c r="C32" s="1">
        <v>31</v>
      </c>
      <c r="D32" s="1">
        <v>1099.912</v>
      </c>
      <c r="G32" s="13">
        <f t="shared" si="0"/>
        <v>1115.845</v>
      </c>
    </row>
    <row r="33" spans="1:7" x14ac:dyDescent="0.3">
      <c r="A33" s="5">
        <v>2003</v>
      </c>
      <c r="B33" s="4">
        <v>37803</v>
      </c>
      <c r="C33" s="1">
        <v>32</v>
      </c>
      <c r="D33" s="1">
        <v>1134.4559999999999</v>
      </c>
      <c r="G33" s="13">
        <f t="shared" si="0"/>
        <v>1186.6342500000001</v>
      </c>
    </row>
    <row r="34" spans="1:7" x14ac:dyDescent="0.3">
      <c r="A34" s="5">
        <v>2003</v>
      </c>
      <c r="B34" s="4">
        <v>37895</v>
      </c>
      <c r="C34" s="1">
        <v>33</v>
      </c>
      <c r="D34" s="1">
        <v>1945.7719999999999</v>
      </c>
      <c r="G34" s="13">
        <f t="shared" si="0"/>
        <v>1315.9247499999999</v>
      </c>
    </row>
    <row r="35" spans="1:7" x14ac:dyDescent="0.3">
      <c r="A35" s="5">
        <v>2004</v>
      </c>
      <c r="B35" s="4">
        <v>37987</v>
      </c>
      <c r="C35" s="1">
        <v>34</v>
      </c>
      <c r="D35" s="1">
        <v>1530.3489999999999</v>
      </c>
      <c r="G35" s="13">
        <f t="shared" si="0"/>
        <v>1427.6222499999999</v>
      </c>
    </row>
    <row r="36" spans="1:7" x14ac:dyDescent="0.3">
      <c r="A36" s="5">
        <v>2004</v>
      </c>
      <c r="B36" s="4">
        <v>38078</v>
      </c>
      <c r="C36" s="1">
        <v>35</v>
      </c>
      <c r="D36" s="1">
        <v>1387.3409999999999</v>
      </c>
      <c r="G36" s="13">
        <f t="shared" si="0"/>
        <v>1499.4794999999999</v>
      </c>
    </row>
    <row r="37" spans="1:7" x14ac:dyDescent="0.3">
      <c r="A37" s="5">
        <v>2004</v>
      </c>
      <c r="B37" s="4">
        <v>38169</v>
      </c>
      <c r="C37" s="1">
        <v>36</v>
      </c>
      <c r="D37" s="1">
        <v>1462.4749999999999</v>
      </c>
      <c r="G37" s="13">
        <f t="shared" si="0"/>
        <v>1581.48425</v>
      </c>
    </row>
    <row r="38" spans="1:7" x14ac:dyDescent="0.3">
      <c r="A38" s="5">
        <v>2004</v>
      </c>
      <c r="B38" s="4">
        <v>38261</v>
      </c>
      <c r="C38" s="1">
        <v>37</v>
      </c>
      <c r="D38" s="1">
        <v>2540.9589999999998</v>
      </c>
      <c r="G38" s="13">
        <f t="shared" si="0"/>
        <v>1730.2809999999997</v>
      </c>
    </row>
    <row r="39" spans="1:7" x14ac:dyDescent="0.3">
      <c r="A39" s="5">
        <v>2005</v>
      </c>
      <c r="B39" s="4">
        <v>38353</v>
      </c>
      <c r="C39" s="1">
        <v>38</v>
      </c>
      <c r="D39" s="1">
        <v>1902</v>
      </c>
      <c r="G39" s="13">
        <f t="shared" si="0"/>
        <v>1823.1937499999999</v>
      </c>
    </row>
    <row r="40" spans="1:7" x14ac:dyDescent="0.3">
      <c r="A40" s="5">
        <v>2005</v>
      </c>
      <c r="B40" s="4">
        <v>38443</v>
      </c>
      <c r="C40" s="1">
        <v>39</v>
      </c>
      <c r="D40" s="1">
        <v>1753</v>
      </c>
      <c r="G40" s="13">
        <f t="shared" si="0"/>
        <v>1914.6084999999998</v>
      </c>
    </row>
    <row r="41" spans="1:7" x14ac:dyDescent="0.3">
      <c r="A41" s="5">
        <v>2005</v>
      </c>
      <c r="B41" s="4">
        <v>38534</v>
      </c>
      <c r="C41" s="1">
        <v>40</v>
      </c>
      <c r="D41" s="1">
        <v>1858</v>
      </c>
      <c r="G41" s="13">
        <f t="shared" si="0"/>
        <v>2013.48975</v>
      </c>
    </row>
    <row r="42" spans="1:7" x14ac:dyDescent="0.3">
      <c r="A42" s="5">
        <v>2005</v>
      </c>
      <c r="B42" s="4">
        <v>38626</v>
      </c>
      <c r="C42" s="1">
        <v>41</v>
      </c>
      <c r="D42" s="1">
        <v>2977</v>
      </c>
      <c r="G42" s="13">
        <f t="shared" si="0"/>
        <v>2122.5</v>
      </c>
    </row>
    <row r="43" spans="1:7" x14ac:dyDescent="0.3">
      <c r="A43" s="5">
        <v>2006</v>
      </c>
      <c r="B43" s="4">
        <v>38718</v>
      </c>
      <c r="C43" s="1">
        <v>42</v>
      </c>
      <c r="D43" s="1">
        <v>2279</v>
      </c>
      <c r="G43" s="13">
        <f t="shared" si="0"/>
        <v>2216.75</v>
      </c>
    </row>
    <row r="44" spans="1:7" x14ac:dyDescent="0.3">
      <c r="A44" s="5">
        <v>2006</v>
      </c>
      <c r="B44" s="4">
        <v>38808</v>
      </c>
      <c r="C44" s="1">
        <v>43</v>
      </c>
      <c r="D44" s="1">
        <v>2139</v>
      </c>
      <c r="G44" s="13">
        <f t="shared" si="0"/>
        <v>2313.25</v>
      </c>
    </row>
    <row r="45" spans="1:7" x14ac:dyDescent="0.3">
      <c r="A45" s="5">
        <v>2006</v>
      </c>
      <c r="B45" s="4">
        <v>38899</v>
      </c>
      <c r="C45" s="1">
        <v>44</v>
      </c>
      <c r="D45" s="1">
        <v>2307</v>
      </c>
      <c r="G45" s="13">
        <f t="shared" si="0"/>
        <v>2425.5</v>
      </c>
    </row>
    <row r="46" spans="1:7" x14ac:dyDescent="0.3">
      <c r="A46" s="5">
        <v>2006</v>
      </c>
      <c r="B46" s="4">
        <v>38991</v>
      </c>
      <c r="C46" s="1">
        <v>45</v>
      </c>
      <c r="D46" s="1">
        <v>3986</v>
      </c>
      <c r="G46" s="13">
        <f t="shared" si="0"/>
        <v>2677.75</v>
      </c>
    </row>
    <row r="47" spans="1:7" x14ac:dyDescent="0.3">
      <c r="A47" s="5">
        <v>2007</v>
      </c>
      <c r="B47" s="4">
        <v>39083</v>
      </c>
      <c r="C47" s="1">
        <v>46</v>
      </c>
      <c r="D47" s="1">
        <v>3015</v>
      </c>
      <c r="G47" s="13">
        <f t="shared" si="0"/>
        <v>2861.75</v>
      </c>
    </row>
    <row r="48" spans="1:7" x14ac:dyDescent="0.3">
      <c r="A48" s="5">
        <v>2007</v>
      </c>
      <c r="B48" s="4">
        <v>39173</v>
      </c>
      <c r="C48" s="1">
        <v>47</v>
      </c>
      <c r="D48" s="1">
        <v>2886</v>
      </c>
      <c r="G48" s="13">
        <f t="shared" si="0"/>
        <v>3048.5</v>
      </c>
    </row>
    <row r="49" spans="1:7" x14ac:dyDescent="0.3">
      <c r="A49" s="5">
        <v>2007</v>
      </c>
      <c r="B49" s="4">
        <v>39264</v>
      </c>
      <c r="C49" s="1">
        <v>48</v>
      </c>
      <c r="D49" s="1">
        <v>3262</v>
      </c>
      <c r="G49" s="13">
        <f t="shared" si="0"/>
        <v>3287.25</v>
      </c>
    </row>
    <row r="50" spans="1:7" x14ac:dyDescent="0.3">
      <c r="A50" s="5">
        <v>2007</v>
      </c>
      <c r="B50" s="4">
        <v>39356</v>
      </c>
      <c r="C50" s="1">
        <v>49</v>
      </c>
      <c r="D50" s="1">
        <v>5672</v>
      </c>
      <c r="G50" s="13">
        <f t="shared" si="0"/>
        <v>3708.75</v>
      </c>
    </row>
    <row r="51" spans="1:7" x14ac:dyDescent="0.3">
      <c r="A51" s="5">
        <v>2008</v>
      </c>
      <c r="B51" s="4">
        <v>39448</v>
      </c>
      <c r="C51" s="1">
        <v>50</v>
      </c>
      <c r="D51" s="1">
        <v>4135</v>
      </c>
      <c r="G51" s="13">
        <f t="shared" si="0"/>
        <v>3988.75</v>
      </c>
    </row>
    <row r="52" spans="1:7" x14ac:dyDescent="0.3">
      <c r="A52" s="5">
        <v>2008</v>
      </c>
      <c r="B52" s="4">
        <v>39539</v>
      </c>
      <c r="C52" s="1">
        <v>51</v>
      </c>
      <c r="D52" s="1">
        <v>4063</v>
      </c>
      <c r="G52" s="13">
        <f t="shared" si="0"/>
        <v>4283</v>
      </c>
    </row>
    <row r="53" spans="1:7" x14ac:dyDescent="0.3">
      <c r="A53" s="5">
        <v>2008</v>
      </c>
      <c r="B53" s="4">
        <v>39630</v>
      </c>
      <c r="C53" s="1">
        <v>52</v>
      </c>
      <c r="D53" s="1">
        <v>4265</v>
      </c>
      <c r="G53" s="13">
        <f t="shared" si="0"/>
        <v>4533.75</v>
      </c>
    </row>
    <row r="54" spans="1:7" x14ac:dyDescent="0.3">
      <c r="A54" s="5">
        <v>2008</v>
      </c>
      <c r="B54" s="4">
        <v>39722</v>
      </c>
      <c r="C54" s="1">
        <v>53</v>
      </c>
      <c r="D54" s="1">
        <v>6703</v>
      </c>
      <c r="G54" s="13">
        <f t="shared" si="0"/>
        <v>4791.5</v>
      </c>
    </row>
    <row r="55" spans="1:7" x14ac:dyDescent="0.3">
      <c r="A55" s="5">
        <v>2009</v>
      </c>
      <c r="B55" s="4">
        <v>39814</v>
      </c>
      <c r="C55" s="1">
        <v>54</v>
      </c>
      <c r="D55" s="1">
        <v>4889</v>
      </c>
      <c r="G55" s="13">
        <f t="shared" si="0"/>
        <v>4980</v>
      </c>
    </row>
    <row r="56" spans="1:7" x14ac:dyDescent="0.3">
      <c r="A56" s="5">
        <v>2009</v>
      </c>
      <c r="B56" s="4">
        <v>39904</v>
      </c>
      <c r="C56" s="1">
        <v>55</v>
      </c>
      <c r="D56" s="1">
        <v>4652</v>
      </c>
      <c r="G56" s="13">
        <f t="shared" si="0"/>
        <v>5127.25</v>
      </c>
    </row>
    <row r="57" spans="1:7" x14ac:dyDescent="0.3">
      <c r="A57" s="5">
        <v>2009</v>
      </c>
      <c r="B57" s="4">
        <v>39995</v>
      </c>
      <c r="C57" s="1">
        <v>56</v>
      </c>
      <c r="D57" s="1">
        <v>5448</v>
      </c>
      <c r="G57" s="13">
        <f t="shared" si="0"/>
        <v>5423</v>
      </c>
    </row>
    <row r="58" spans="1:7" x14ac:dyDescent="0.3">
      <c r="A58" s="5">
        <v>2009</v>
      </c>
      <c r="B58" s="4">
        <v>40087</v>
      </c>
      <c r="C58" s="1">
        <v>57</v>
      </c>
      <c r="D58" s="1">
        <v>9520</v>
      </c>
      <c r="G58" s="13">
        <f t="shared" si="0"/>
        <v>6127.25</v>
      </c>
    </row>
    <row r="59" spans="1:7" x14ac:dyDescent="0.3">
      <c r="A59" s="5">
        <v>2010</v>
      </c>
      <c r="B59" s="4">
        <v>40179</v>
      </c>
      <c r="C59" s="1">
        <v>58</v>
      </c>
      <c r="D59" s="1">
        <v>7131</v>
      </c>
      <c r="G59" s="13">
        <f t="shared" si="0"/>
        <v>6687.75</v>
      </c>
    </row>
    <row r="60" spans="1:7" x14ac:dyDescent="0.3">
      <c r="A60" s="5">
        <v>2010</v>
      </c>
      <c r="B60" s="4">
        <v>40269</v>
      </c>
      <c r="C60" s="1">
        <v>59</v>
      </c>
      <c r="D60" s="1">
        <v>6566</v>
      </c>
      <c r="G60" s="13">
        <f t="shared" si="0"/>
        <v>7166.25</v>
      </c>
    </row>
    <row r="61" spans="1:7" x14ac:dyDescent="0.3">
      <c r="A61" s="5">
        <v>2010</v>
      </c>
      <c r="B61" s="4">
        <v>40360</v>
      </c>
      <c r="C61" s="1">
        <v>60</v>
      </c>
      <c r="D61" s="1">
        <v>7560</v>
      </c>
      <c r="G61" s="13">
        <f t="shared" si="0"/>
        <v>7694.25</v>
      </c>
    </row>
    <row r="62" spans="1:7" x14ac:dyDescent="0.3">
      <c r="A62" s="5">
        <v>2010</v>
      </c>
      <c r="B62" s="4">
        <v>40452</v>
      </c>
      <c r="C62" s="1">
        <v>61</v>
      </c>
      <c r="D62" s="1">
        <v>12948</v>
      </c>
      <c r="G62" s="13">
        <f t="shared" si="0"/>
        <v>8551.25</v>
      </c>
    </row>
    <row r="63" spans="1:7" x14ac:dyDescent="0.3">
      <c r="A63" s="5">
        <v>2011</v>
      </c>
      <c r="B63" s="4">
        <v>40544</v>
      </c>
      <c r="C63" s="1">
        <v>62</v>
      </c>
      <c r="D63" s="1">
        <v>9857</v>
      </c>
      <c r="G63" s="13">
        <f t="shared" si="0"/>
        <v>9232.75</v>
      </c>
    </row>
    <row r="64" spans="1:7" x14ac:dyDescent="0.3">
      <c r="A64" s="5">
        <v>2011</v>
      </c>
      <c r="B64" s="4">
        <v>40634</v>
      </c>
      <c r="C64" s="1">
        <v>63</v>
      </c>
      <c r="D64" s="1">
        <v>9913</v>
      </c>
      <c r="G64" s="13">
        <f t="shared" si="0"/>
        <v>10069.5</v>
      </c>
    </row>
    <row r="65" spans="1:7" x14ac:dyDescent="0.3">
      <c r="A65" s="5">
        <v>2011</v>
      </c>
      <c r="B65" s="4">
        <v>40725</v>
      </c>
      <c r="C65" s="1">
        <v>64</v>
      </c>
      <c r="D65" s="1">
        <v>10876</v>
      </c>
      <c r="G65" s="13">
        <f t="shared" si="0"/>
        <v>10898.5</v>
      </c>
    </row>
    <row r="66" spans="1:7" x14ac:dyDescent="0.3">
      <c r="A66" s="5">
        <v>2011</v>
      </c>
      <c r="B66" s="4">
        <v>40817</v>
      </c>
      <c r="C66" s="1">
        <v>65</v>
      </c>
      <c r="D66" s="1">
        <v>17431</v>
      </c>
      <c r="G66" s="13">
        <f t="shared" si="0"/>
        <v>12019.25</v>
      </c>
    </row>
    <row r="67" spans="1:7" x14ac:dyDescent="0.3">
      <c r="A67" s="5">
        <v>2012</v>
      </c>
      <c r="B67" s="4">
        <v>40909</v>
      </c>
      <c r="C67" s="1">
        <v>66</v>
      </c>
      <c r="D67" s="1">
        <v>13185</v>
      </c>
      <c r="G67" s="13">
        <f t="shared" si="0"/>
        <v>12851.25</v>
      </c>
    </row>
    <row r="68" spans="1:7" x14ac:dyDescent="0.3">
      <c r="A68" s="5">
        <v>2012</v>
      </c>
      <c r="B68" s="4">
        <v>41000</v>
      </c>
      <c r="C68" s="1">
        <v>67</v>
      </c>
      <c r="D68" s="1">
        <v>12834</v>
      </c>
      <c r="G68" s="13">
        <f t="shared" si="0"/>
        <v>13581.5</v>
      </c>
    </row>
    <row r="69" spans="1:7" x14ac:dyDescent="0.3">
      <c r="A69" s="5">
        <v>2012</v>
      </c>
      <c r="B69" s="4">
        <v>41091</v>
      </c>
      <c r="C69" s="1">
        <v>68</v>
      </c>
      <c r="D69" s="1">
        <v>13805</v>
      </c>
      <c r="G69" s="13">
        <f t="shared" si="0"/>
        <v>14313.75</v>
      </c>
    </row>
  </sheetData>
  <mergeCells count="2">
    <mergeCell ref="N1:S5"/>
    <mergeCell ref="I1:M5"/>
  </mergeCells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89e27f4-f72b-4897-889b-b78b796d5f6b" xsi:nil="true"/>
    <lcf76f155ced4ddcb4097134ff3c332f xmlns="a54a83b2-29f8-45f8-8196-8412dabac147">
      <Terms xmlns="http://schemas.microsoft.com/office/infopath/2007/PartnerControls"/>
    </lcf76f155ced4ddcb4097134ff3c332f>
    <TaxKeywordTaxHTField xmlns="589e27f4-f72b-4897-889b-b78b796d5f6b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B760EC12AD74590C16631EC08CF52" ma:contentTypeVersion="23" ma:contentTypeDescription="Create a new document." ma:contentTypeScope="" ma:versionID="1166b5bd3e7fe001b0bbd237a00c70a4">
  <xsd:schema xmlns:xsd="http://www.w3.org/2001/XMLSchema" xmlns:xs="http://www.w3.org/2001/XMLSchema" xmlns:p="http://schemas.microsoft.com/office/2006/metadata/properties" xmlns:ns1="http://schemas.microsoft.com/sharepoint/v3" xmlns:ns2="589e27f4-f72b-4897-889b-b78b796d5f6b" xmlns:ns3="a54a83b2-29f8-45f8-8196-8412dabac147" targetNamespace="http://schemas.microsoft.com/office/2006/metadata/properties" ma:root="true" ma:fieldsID="937b0f976ed43f012c5a376007e98050" ns1:_="" ns2:_="" ns3:_="">
    <xsd:import namespace="http://schemas.microsoft.com/sharepoint/v3"/>
    <xsd:import namespace="589e27f4-f72b-4897-889b-b78b796d5f6b"/>
    <xsd:import namespace="a54a83b2-29f8-45f8-8196-8412dabac1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KeywordTaxHTField" minOccurs="0"/>
                <xsd:element ref="ns2:TaxCatchAll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e27f4-f72b-4897-889b-b78b796d5f6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e3c020bd-11df-41b8-83ee-43f9e7b211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8" nillable="true" ma:displayName="Taxonomy Catch All Column" ma:hidden="true" ma:list="{62305f9e-dc34-43a5-8f94-89b4765f0696}" ma:internalName="TaxCatchAll" ma:showField="CatchAllData" ma:web="589e27f4-f72b-4897-889b-b78b796d5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a83b2-29f8-45f8-8196-8412dabac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c020bd-11df-41b8-83ee-43f9e7b21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326E9E-11F0-4473-A6CC-74AE23546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89e27f4-f72b-4897-889b-b78b796d5f6b"/>
    <ds:schemaRef ds:uri="a54a83b2-29f8-45f8-8196-8412dabac147"/>
  </ds:schemaRefs>
</ds:datastoreItem>
</file>

<file path=customXml/itemProps2.xml><?xml version="1.0" encoding="utf-8"?>
<ds:datastoreItem xmlns:ds="http://schemas.openxmlformats.org/officeDocument/2006/customXml" ds:itemID="{21F69E9D-3547-436E-837C-1D35672C8B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4DC44F-ACD5-474A-82C2-9AF0D1DE5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89e27f4-f72b-4897-889b-b78b796d5f6b"/>
    <ds:schemaRef ds:uri="a54a83b2-29f8-45f8-8196-8412dabac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Lab3_Time series</vt:lpstr>
      <vt:lpstr>Air Passengers</vt:lpstr>
      <vt:lpstr>Optional_Amazon 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Darshana</dc:creator>
  <cp:keywords/>
  <dc:description/>
  <cp:lastModifiedBy>Marjan Yazdani</cp:lastModifiedBy>
  <cp:revision/>
  <dcterms:created xsi:type="dcterms:W3CDTF">2018-10-01T18:06:47Z</dcterms:created>
  <dcterms:modified xsi:type="dcterms:W3CDTF">2023-05-29T14:01:49Z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0x010100B81B760EC12AD74590C16631EC08CF52</vt:lpwstr>
  </property>
  <property fmtid="{D5CDD505-2E9C-101B-9397-08002B2CF9AE}" pid="3" name="MSIP_Label_084814fa-f907-4bd7-b6bf-0a4e04300d59_Enabled">
    <vt:lpwstr>true</vt:lpwstr>
  </property>
  <property fmtid="{D5CDD505-2E9C-101B-9397-08002B2CF9AE}" pid="4" name="MSIP_Label_084814fa-f907-4bd7-b6bf-0a4e04300d59_SetDate">
    <vt:lpwstr>2022-06-14T12:43:38Z</vt:lpwstr>
  </property>
  <property fmtid="{D5CDD505-2E9C-101B-9397-08002B2CF9AE}" pid="5" name="MSIP_Label_084814fa-f907-4bd7-b6bf-0a4e04300d59_Method">
    <vt:lpwstr>Standard</vt:lpwstr>
  </property>
  <property fmtid="{D5CDD505-2E9C-101B-9397-08002B2CF9AE}" pid="6" name="MSIP_Label_084814fa-f907-4bd7-b6bf-0a4e04300d59_Name">
    <vt:lpwstr>AVADO Internal</vt:lpwstr>
  </property>
  <property fmtid="{D5CDD505-2E9C-101B-9397-08002B2CF9AE}" pid="7" name="MSIP_Label_084814fa-f907-4bd7-b6bf-0a4e04300d59_SiteId">
    <vt:lpwstr>0d1f8d9c-a66b-4161-b75b-11b19ddddc12</vt:lpwstr>
  </property>
  <property fmtid="{D5CDD505-2E9C-101B-9397-08002B2CF9AE}" pid="8" name="MSIP_Label_084814fa-f907-4bd7-b6bf-0a4e04300d59_ActionId">
    <vt:lpwstr>ad7c79a6-f9cc-49c8-9b06-afc3965639c3</vt:lpwstr>
  </property>
  <property fmtid="{D5CDD505-2E9C-101B-9397-08002B2CF9AE}" pid="9" name="MSIP_Label_084814fa-f907-4bd7-b6bf-0a4e04300d59_ContentBits">
    <vt:lpwstr>0</vt:lpwstr>
  </property>
  <property fmtid="{D5CDD505-2E9C-101B-9397-08002B2CF9AE}" pid="10" name="MediaServiceImageTags">
    <vt:lpwstr/>
  </property>
  <property fmtid="{D5CDD505-2E9C-101B-9397-08002B2CF9AE}" pid="11" name="TaxKeyword">
    <vt:lpwstr/>
  </property>
</Properties>
</file>